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9af4a0e6f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校正統計" sheetId="1" r:id="Re401f0ee63b64b83"/>
    <x:sheet xmlns:r="http://schemas.openxmlformats.org/officeDocument/2006/relationships" name="逐張量測" sheetId="2" r:id="R011d79a2090c488b"/>
    <x:sheet xmlns:r="http://schemas.openxmlformats.org/officeDocument/2006/relationships" name="距離預測" sheetId="3" r:id="R15eb4a4cb3de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0.000"/>
    <x:numFmt numFmtId="202" formatCode="0.00"/>
    <x:numFmt numFmtId="203" formatCode="0.000000"/>
  </x:numFmts>
  <x:fonts count="5">
    <x:font>
      <x:sz val="11"/>
      <x:name val="Carlito"/>
    </x:font>
    <x:font>
      <x:sz val="11"/>
      <x:color rgb="FF243547"/>
      <x:name val="Microsoft JhengHei"/>
    </x:font>
    <x:font>
      <x:b/>
      <x:sz val="16"/>
      <x:color rgb="FF193E63"/>
      <x:name val="Microsoft JhengHei"/>
    </x:font>
    <x:font>
      <x:b/>
      <x:sz val="11"/>
      <x:color rgb="FFFFFFFF"/>
      <x:name val="Microsoft JhengHei"/>
    </x:font>
    <x:font>
      <x:sz val="11"/>
      <x:color rgb="FF607084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193E63"/>
      </x:patternFill>
    </x:fill>
    <x:fill>
      <x:patternFill patternType="solid">
        <x:fgColor rgb="FFFFF1C7"/>
      </x:patternFill>
    </x:fill>
    <x:fill>
      <x:patternFill patternType="solid">
        <x:fgColor rgb="FFE9F0F6"/>
      </x:patternFill>
    </x:fill>
    <x:fill>
      <x:patternFill patternType="solid">
        <x:fgColor rgb="FFF3F6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202" fontId="1" fillId="4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202" fontId="1" fillId="5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3" fontId="1" fillId="5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color rgb="FF9C400C"/>
      </x:font>
      <x:fill>
        <x:patternFill patternType="solid">
          <x:bgColor rgb="FFFCE5D6"/>
        </x:patternFill>
      </x:fill>
    </x:dxf>
    <x:dxf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6d0c04bcb4455" /><Relationship Type="http://schemas.openxmlformats.org/officeDocument/2006/relationships/theme" Target="/xl/theme/theme1.xml" Id="R0cf20377c27741e1" /><Relationship Type="http://schemas.openxmlformats.org/officeDocument/2006/relationships/sharedStrings" Target="/xl/sharedStrings.xml" Id="R9d2a36f6e4f94222" /><Relationship Type="http://schemas.openxmlformats.org/officeDocument/2006/relationships/worksheet" Target="/xl/worksheets/sheet1.xml" Id="Re401f0ee63b64b83" /><Relationship Type="http://schemas.openxmlformats.org/officeDocument/2006/relationships/worksheet" Target="/xl/worksheets/sheet2.xml" Id="R011d79a2090c488b" /><Relationship Type="http://schemas.openxmlformats.org/officeDocument/2006/relationships/worksheet" Target="/xl/worksheets/sheet3.xml" Id="R15eb4a4cb3de4f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dd32c736fd4c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Microsoft JhengHei"/>
                <a:ea typeface="Microsoft JhengHei"/>
                <a:cs typeface="Microsoft JhengHei"/>
              </a:rPr>
              <a:t>合併校正比例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Microsoft JhengHei"/>
              <a:ea typeface="Microsoft JhengHei"/>
              <a:cs typeface="Microsoft JhengHei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合併直線 cm/px</c:v>
          </c:tx>
          <c:spPr>
            <a:ln xmlns:a="http://schemas.openxmlformats.org/drawingml/2006/main" w="19050">
              <a:solidFill>
                <a:srgbClr val="2563A6"/>
              </a:solidFill>
              <a:prstDash val="solid"/>
            </a:ln>
          </c:spPr>
          <c:xVal>
            <c:numRef>
              <c:f>'距離預測'!$A$6:$A$126</c:f>
              <c:numCache>
                <c:formatCode>General</c:formatCode>
                <c:ptCount val="0"/>
              </c:numCache>
            </c:numRef>
          </c:xVal>
          <c:yVal>
            <c:numRef>
              <c:f>'距離預測'!$B$6:$B$126</c:f>
              <c:numCache>
                <c:formatCode>0.000000</c:formatCode>
                <c:ptCount val="0"/>
              </c:numCache>
            </c:numRef>
          </c:yVal>
        </c:ser>
        <c:ser>
          <c:idx val="1"/>
          <c:order val="1"/>
          <c:tx>
            <c:v>合併反比 cm/px</c:v>
          </c:tx>
          <c:spPr>
            <a:ln xmlns:a="http://schemas.openxmlformats.org/drawingml/2006/main" w="19050">
              <a:solidFill>
                <a:srgbClr val="C77835"/>
              </a:solidFill>
              <a:prstDash val="solid"/>
            </a:ln>
          </c:spPr>
          <c:xVal>
            <c:numRef>
              <c:f>'距離預測'!$A$6:$A$126</c:f>
              <c:numCache>
                <c:formatCode>General</c:formatCode>
                <c:ptCount val="0"/>
              </c:numCache>
            </c:numRef>
          </c:xVal>
          <c:yVal>
            <c:numRef>
              <c:f>'距離預測'!$C$6:$C$126</c:f>
              <c:numCache>
                <c:formatCode>0.000000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比例 (cm/px)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icrosoft JhengHei"/>
                <a:ea typeface="Microsoft JhengHei"/>
                <a:cs typeface="Microsoft JhengHei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距離 (cm)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icrosoft JhengHei"/>
                <a:ea typeface="Microsoft JhengHei"/>
                <a:cs typeface="Microsoft JhengHei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JhengHei"/>
              <a:ea typeface="Microsoft JhengHei"/>
              <a:cs typeface="Microsoft Jheng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dd32c736fd4c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Measurements" displayName="AllMeasurements" ref="A4:V150" headerRowCount="1" totalsRowCount="0" totalsRowShown="0">
  <x:tableColumns count="22">
    <x:tableColumn id="1" name="原圖相對路徑"/>
    <x:tableColumn id="2" name="受試者"/>
    <x:tableColumn id="3" name="含鞋身高 H (cm)"/>
    <x:tableColumn id="4" name="距離 D (cm)"/>
    <x:tableColumn id="5" name="x_min (px)"/>
    <x:tableColumn id="6" name="y_min (px)"/>
    <x:tableColumn id="7" name="x_max (px)"/>
    <x:tableColumn id="8" name="y_max (px)"/>
    <x:tableColumn id="9" name="納入 1/0"/>
    <x:tableColumn id="10" name="可見高度 h (px)"/>
    <x:tableColumn id="11" name="實測 H/h (cm/px)"/>
    <x:tableColumn id="12" name="H/D"/>
    <x:tableColumn id="13" name="直線身高 (cm)"/>
    <x:tableColumn id="14" name="直線誤差 (cm)"/>
    <x:tableColumn id="15" name="反比身高 (cm)"/>
    <x:tableColumn id="16" name="反比誤差 (cm)"/>
    <x:tableColumn id="17" name="原直線誤差 (cm)"/>
    <x:tableColumn id="18" name="原反比誤差 (cm)"/>
    <x:tableColumn id="19" name="像素擬合分子"/>
    <x:tableColumn id="20" name="像素擬合分母"/>
    <x:tableColumn id="21" name="有效高度 (px)"/>
    <x:tableColumn id="22" name="狀態與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90b6256e18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225b7cad4d64347" /></Relationships>
</file>

<file path=xl/worksheets/sheet1.xml><?xml version="1.0" encoding="utf-8"?>
<x:worksheet xmlns:x="http://schemas.openxmlformats.org/spreadsheetml/2006/main">
  <x:sheetPr>
    <x:tabColor rgb="FF193E63"/>
  </x:sheetPr>
  <x:sheetViews>
    <x:sheetView showGridLines="0" workbookViewId="0"/>
  </x:sheetViews>
  <x:sheetFormatPr defaultRowHeight="15"/>
  <x:cols>
    <x:col min="1" max="1" width="23.75" hidden="0" customWidth="1"/>
    <x:col min="2" max="2" width="18.1299991607666" hidden="0" customWidth="1"/>
    <x:col min="3" max="3" width="13.75" hidden="0" customWidth="1"/>
    <x:col min="4" max="4" width="14.380000114440918" hidden="0" customWidth="1"/>
    <x:col min="5" max="5" width="15.630000114440918" hidden="0" customWidth="1"/>
    <x:col min="6" max="6" width="18.1299991607666" hidden="0" customWidth="1"/>
    <x:col min="7" max="7" width="14.380000114440918" hidden="0" customWidth="1"/>
    <x:col min="8" max="8" width="15" hidden="0" customWidth="1"/>
    <x:col min="9" max="9" width="15" hidden="0" customWidth="1"/>
    <x:col min="10" max="10" width="13.75" hidden="0" customWidth="1"/>
    <x:col min="11" max="11" width="1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4" t="str">
        <x:v>AMB82-mini 四位受試者身高校正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6" customHeight="1">
      <x:c r="A3" s="3" t="str">
        <x:v>身高均含鞋；146 張影像、145 張有效；距離 180–300 cm。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40" customHeight="1">
      <x:c r="A5" s="8" t="str">
        <x:v>合併校正</x:v>
      </x:c>
      <x:c r="B5" s="8" t="str">
        <x:v>數值</x:v>
      </x:c>
      <x:c r="C5" s="3"/>
      <x:c r="D5" s="8" t="str">
        <x:v>新影像換算器</x:v>
      </x:c>
      <x:c r="E5" s="8" t="str">
        <x:v>輸入／結果</x:v>
      </x:c>
      <x:c r="F5" s="8" t="str">
        <x:v>單位</x:v>
      </x:c>
      <x:c r="G5" s="3"/>
      <x:c r="H5" s="3"/>
      <x:c r="I5" s="3"/>
      <x:c r="J5" s="3"/>
      <x:c r="K5" s="3"/>
    </x:row>
    <x:row r="6" ht="26" customHeight="1">
      <x:c r="A6" s="3" t="str">
        <x:v>有效影像 n</x:v>
      </x:c>
      <x:c r="B6" s="3" t="n">
        <x:f>SUM('逐張量測'!I5:I150)</x:f>
        <x:v>145</x:v>
      </x:c>
      <x:c r="C6" s="3"/>
      <x:c r="D6" s="3" t="str">
        <x:v>距離 D</x:v>
      </x:c>
      <x:c r="E6" s="11" t="n">
        <x:v>200</x:v>
      </x:c>
      <x:c r="F6" s="3" t="str">
        <x:v>cm</x:v>
      </x:c>
      <x:c r="G6" s="3"/>
      <x:c r="H6" s="3"/>
      <x:c r="I6" s="3"/>
      <x:c r="J6" s="3"/>
      <x:c r="K6" s="3"/>
    </x:row>
    <x:row r="7" ht="26" customHeight="1">
      <x:c r="A7" s="3" t="str">
        <x:v>cm/px 斜率 a</x:v>
      </x:c>
      <x:c r="B7" s="9" t="n">
        <x:f>(B6*SUMPRODUCT('逐張量測'!D5:D150,'逐張量測'!K5:K150)-SUMPRODUCT('逐張量測'!D5:D150,'逐張量測'!I5:I150)*SUM('逐張量測'!K5:K150))/(B6*SUMPRODUCT('逐張量測'!D5:D150,'逐張量測'!D5:D150,'逐張量測'!I5:I150)-SUMPRODUCT('逐張量測'!D5:D150,'逐張量測'!I5:I150)^2)</x:f>
        <x:v>0.0013745868543698434</x:v>
      </x:c>
      <x:c r="C7" s="3"/>
      <x:c r="D7" s="3" t="str">
        <x:v>影像高度 h</x:v>
      </x:c>
      <x:c r="E7" s="11" t="n">
        <x:v>565</x:v>
      </x:c>
      <x:c r="F7" s="3" t="str">
        <x:v>px</x:v>
      </x:c>
      <x:c r="G7" s="3"/>
      <x:c r="H7" s="3"/>
      <x:c r="I7" s="3"/>
      <x:c r="J7" s="3"/>
      <x:c r="K7" s="3"/>
    </x:row>
    <x:row r="8" ht="26" customHeight="1">
      <x:c r="A8" s="3" t="str">
        <x:v>cm/px 截距 b</x:v>
      </x:c>
      <x:c r="B8" s="9" t="n">
        <x:f>(SUM('逐張量測'!K5:K150)-B7*SUMPRODUCT('逐張量測'!D5:D150,'逐張量測'!I5:I150))/B6</x:f>
        <x:v>0.02206336853033744</x:v>
      </x:c>
      <x:c r="C8" s="3"/>
      <x:c r="D8" s="3" t="str">
        <x:v>直線推估 H</x:v>
      </x:c>
      <x:c r="E8" s="13" t="n">
        <x:f>IF(OR(ISBLANK(E6),ISBLANK(E7)),"待輸入",IF(OR(NOT(ISNUMBER(E6)),NOT(ISNUMBER(E7))),"需輸入數值",IF(OR(E6&lt;=0,E7&lt;=0,E7&gt;720),"超出輸入範圍",E7*($B$7*E6+$B$8))))</x:f>
        <x:v>167.79411776343298</x:v>
      </x:c>
      <x:c r="F8" s="3" t="str">
        <x:v>cm</x:v>
      </x:c>
      <x:c r="G8" s="3"/>
      <x:c r="H8" s="3"/>
      <x:c r="I8" s="3"/>
      <x:c r="J8" s="3"/>
      <x:c r="K8" s="3"/>
    </x:row>
    <x:row r="9" ht="26" customHeight="1">
      <x:c r="A9" s="3" t="str">
        <x:v>像素模型 k</x:v>
      </x:c>
      <x:c r="B9" s="10" t="n">
        <x:f>SUM('逐張量測'!S5:S150)/SUM('逐張量測'!T5:T150)</x:f>
        <x:v>676.8734205130532</x:v>
      </x:c>
      <x:c r="C9" s="3"/>
      <x:c r="D9" s="3" t="str">
        <x:v>反比推估 H</x:v>
      </x:c>
      <x:c r="E9" s="13" t="n">
        <x:f>IF(OR(ISBLANK(E6),ISBLANK(E7)),"待輸入",IF(OR(NOT(ISNUMBER(E6)),NOT(ISNUMBER(E7))),"需輸入數值",IF(OR(E6&lt;=0,E7&lt;=0,E7&gt;720),"超出輸入範圍",E7*E6/$B$9)))</x:f>
        <x:v>166.94406454067706</x:v>
      </x:c>
      <x:c r="F9" s="3" t="str">
        <x:v>cm</x:v>
      </x:c>
      <x:c r="G9" s="3"/>
      <x:c r="H9" s="3"/>
      <x:c r="I9" s="3"/>
      <x:c r="J9" s="3"/>
      <x:c r="K9" s="3"/>
    </x:row>
    <x:row r="10" ht="26" customHeight="1">
      <x:c r="A10" s="3" t="str">
        <x:v>身高擬合 RMSE</x:v>
      </x:c>
      <x:c r="B10" s="10" t="n">
        <x:f>SQRT(SUMPRODUCT('逐張量測'!N5:N150,'逐張量測'!N5:N150))/B6^0.5</x:f>
        <x:v>3.2048671369848742</x:v>
      </x:c>
      <x:c r="C10" s="3"/>
      <x:c r="D10" s="3" t="str">
        <x:v>直線 cm/px</x:v>
      </x:c>
      <x:c r="E10" s="14" t="n">
        <x:f>IF(OR(ISBLANK(E6),ISBLANK(E7)),"待輸入",IF(OR(NOT(ISNUMBER(E6)),NOT(ISNUMBER(E7))),"需輸入數值",IF(OR(E6&lt;=0,E7&lt;=0,E7&gt;720),"超出輸入範圍",$B$7*E6+$B$8)))</x:f>
        <x:v>0.29698073940430614</x:v>
      </x:c>
      <x:c r="F10" s="3" t="str">
        <x:v>cm/px</x:v>
      </x:c>
      <x:c r="G10" s="3"/>
      <x:c r="H10" s="3"/>
      <x:c r="I10" s="3"/>
      <x:c r="J10" s="3"/>
      <x:c r="K10" s="3"/>
    </x:row>
    <x:row r="11" ht="26" customHeight="1">
      <x:c r="A11" s="3" t="str">
        <x:v>留一距離 RMSE</x:v>
      </x:c>
      <x:c r="B11" s="10" t="n">
        <x:v>3.340616635784901</x:v>
      </x:c>
      <x:c r="C11" s="3"/>
      <x:c r="D11" s="3" t="str">
        <x:v>距離檢查</x:v>
      </x:c>
      <x:c r="E11" s="3" t="str">
        <x:f>IF(ISBLANK(E6),"待輸入",IF(NOT(ISNUMBER(E6)),"需輸入數值",IF(E6&lt;=0,"需大於 0",IF(OR(E6&lt;180,E6&gt;300),"區間外：外插","資料距離區間內"))))</x:f>
        <x:v>資料距離區間內</x:v>
      </x:c>
      <x:c r="F11" s="3"/>
      <x:c r="G11" s="3"/>
      <x:c r="H11" s="3"/>
      <x:c r="I11" s="3"/>
      <x:c r="J11" s="3"/>
      <x:c r="K11" s="3"/>
    </x:row>
    <x:row r="12" ht="26" customHeight="1">
      <x:c r="A12" s="3" t="str">
        <x:v>留一受試者 RMSE</x:v>
      </x:c>
      <x:c r="B12" s="10" t="n">
        <x:v>3.925273121205645</x:v>
      </x:c>
      <x:c r="C12" s="3"/>
      <x:c r="D12" s="3" t="str">
        <x:v>量測基準</x:v>
      </x:c>
      <x:c r="E12" s="3" t="str">
        <x:v>包含鞋子</x:v>
      </x:c>
      <x:c r="F12" s="3"/>
      <x:c r="G12" s="3"/>
      <x:c r="H12" s="3"/>
      <x:c r="I12" s="3"/>
      <x:c r="J12" s="3"/>
      <x:c r="K12" s="3"/>
    </x:row>
    <x:row r="13" ht="26" customHeight="1">
      <x:c r="A13" s="3" t="str">
        <x:v>排除影像數</x:v>
      </x:c>
      <x:c r="B13" s="3" t="n">
        <x:f>COUNTA('逐張量測'!A5:A150)-B6</x:f>
        <x:v>1</x:v>
      </x:c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15" t="str">
        <x:v>直線：H = h × (aD+b)；反比：H = hD/k。兩者分別最小化比例與像素殘差。</x:v>
      </x:c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</x:row>
    <x:row r="16" ht="26" customHeight="1">
      <x:c r="A16" s="15" t="str">
        <x:v>B11:B12 及模型比較為固定驗證結果；修改量測後須重跑 Python 更新分組驗證。</x:v>
      </x:c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</x:row>
    <x:row r="17" ht="26" customHeight="1">
      <x:c r="A17" s="15" t="str">
        <x:v>同一人重複照片不等於獨立受試者；跨受試者驗證只有 4 折。黃色欄可輸入。</x:v>
      </x:c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40" customHeight="1">
      <x:c r="A19" s="8" t="str">
        <x:v>受試者</x:v>
      </x:c>
      <x:c r="B19" s="8" t="str">
        <x:v>身高 (cm)</x:v>
      </x:c>
      <x:c r="C19" s="8" t="str">
        <x:v>距離 (cm)</x:v>
      </x:c>
      <x:c r="D19" s="8" t="str">
        <x:v>總張數</x:v>
      </x:c>
      <x:c r="E19" s="8" t="str">
        <x:v>有效 n</x:v>
      </x:c>
      <x:c r="F19" s="8" t="str">
        <x:v>平均 h (px)</x:v>
      </x:c>
      <x:c r="G19" s="8" t="str">
        <x:v>樣本 SD (px)</x:v>
      </x:c>
      <x:c r="H19" s="8" t="str">
        <x:v>最小 h (px)</x:v>
      </x:c>
      <x:c r="I19" s="8" t="str">
        <x:v>最大 h (px)</x:v>
      </x:c>
      <x:c r="J19" s="8" t="str">
        <x:v>mean(H/h)</x:v>
      </x:c>
      <x:c r="K19" s="8" t="str">
        <x:v>H/mean(h)</x:v>
      </x:c>
    </x:row>
    <x:row r="20" ht="26" customHeight="1">
      <x:c r="A20" s="19" t="str">
        <x:v>162_lai</x:v>
      </x:c>
      <x:c r="B20" s="19" t="n">
        <x:v>162</x:v>
      </x:c>
      <x:c r="C20" s="19" t="n">
        <x:v>180</x:v>
      </x:c>
      <x:c r="D20" s="19" t="n">
        <x:f>COUNTA('逐張量測'!A5:A11)</x:f>
        <x:v>7</x:v>
      </x:c>
      <x:c r="E20" s="19" t="n">
        <x:f>COUNT('逐張量測'!U5:U11)</x:f>
        <x:v>7</x:v>
      </x:c>
      <x:c r="F20" s="20" t="n">
        <x:f>AVERAGE('逐張量測'!U5:U11)</x:f>
        <x:v>571.8571428571429</x:v>
      </x:c>
      <x:c r="G20" s="20" t="n">
        <x:f>STDEV('逐張量測'!U5:U11)</x:f>
        <x:v>0.8997354108424375</x:v>
      </x:c>
      <x:c r="H20" s="19" t="n">
        <x:f>MIN('逐張量測'!U5:U11)</x:f>
        <x:v>571</x:v>
      </x:c>
      <x:c r="I20" s="19" t="n">
        <x:f>MAX('逐張量測'!U5:U11)</x:f>
        <x:v>573</x:v>
      </x:c>
      <x:c r="J20" s="22" t="n">
        <x:f>AVERAGE('逐張量測'!K5:K11)</x:f>
        <x:v>0.28328813519670015</x:v>
      </x:c>
      <x:c r="K20" s="22" t="n">
        <x:f>B20/F20</x:f>
        <x:v>0.28328753434923803</x:v>
      </x:c>
    </x:row>
    <x:row r="21" ht="26" customHeight="1">
      <x:c r="A21" s="3" t="str">
        <x:v>162_lai</x:v>
      </x:c>
      <x:c r="B21" s="3" t="n">
        <x:v>162</x:v>
      </x:c>
      <x:c r="C21" s="3" t="n">
        <x:v>200</x:v>
      </x:c>
      <x:c r="D21" s="3" t="n">
        <x:f>COUNTA('逐張量測'!A12:A18)</x:f>
        <x:v>7</x:v>
      </x:c>
      <x:c r="E21" s="3" t="n">
        <x:f>COUNT('逐張量測'!U12:U18)</x:f>
        <x:v>7</x:v>
      </x:c>
      <x:c r="F21" s="21" t="n">
        <x:f>AVERAGE('逐張量測'!U12:U18)</x:f>
        <x:v>554.2857142857143</x:v>
      </x:c>
      <x:c r="G21" s="21" t="n">
        <x:f>STDEV('逐張量測'!U12:U18)</x:f>
        <x:v>0.7559289460184545</x:v>
      </x:c>
      <x:c r="H21" s="3" t="n">
        <x:f>MIN('逐張量測'!U12:U18)</x:f>
        <x:v>553</x:v>
      </x:c>
      <x:c r="I21" s="3" t="n">
        <x:f>MAX('逐張量測'!U12:U18)</x:f>
        <x:v>555</x:v>
      </x:c>
      <x:c r="J21" s="14" t="n">
        <x:f>AVERAGE('逐張量測'!K12:K18)</x:f>
        <x:v>0.2922685074479357</x:v>
      </x:c>
      <x:c r="K21" s="14" t="n">
        <x:f>B21/F21</x:f>
        <x:v>0.29226804123711336</x:v>
      </x:c>
    </x:row>
    <x:row r="22" ht="26" customHeight="1">
      <x:c r="A22" s="19" t="str">
        <x:v>162_lai</x:v>
      </x:c>
      <x:c r="B22" s="19" t="n">
        <x:v>162</x:v>
      </x:c>
      <x:c r="C22" s="19" t="n">
        <x:v>220</x:v>
      </x:c>
      <x:c r="D22" s="19" t="n">
        <x:f>COUNTA('逐張量測'!A19:A24)</x:f>
        <x:v>6</x:v>
      </x:c>
      <x:c r="E22" s="19" t="n">
        <x:f>COUNT('逐張量測'!U19:U24)</x:f>
        <x:v>6</x:v>
      </x:c>
      <x:c r="F22" s="20" t="n">
        <x:f>AVERAGE('逐張量測'!U19:U24)</x:f>
        <x:v>499.5</x:v>
      </x:c>
      <x:c r="G22" s="20" t="n">
        <x:f>STDEV('逐張量測'!U19:U24)</x:f>
        <x:v>0.5477225575051661</x:v>
      </x:c>
      <x:c r="H22" s="19" t="n">
        <x:f>MIN('逐張量測'!U19:U24)</x:f>
        <x:v>499</x:v>
      </x:c>
      <x:c r="I22" s="19" t="n">
        <x:f>MAX('逐張量測'!U19:U24)</x:f>
        <x:v>500</x:v>
      </x:c>
      <x:c r="J22" s="22" t="n">
        <x:f>AVERAGE('逐張量測'!K19:K24)</x:f>
        <x:v>0.3243246492985972</x:v>
      </x:c>
      <x:c r="K22" s="22" t="n">
        <x:f>B22/F22</x:f>
        <x:v>0.32432432432432434</x:v>
      </x:c>
    </x:row>
    <x:row r="23" ht="26" customHeight="1">
      <x:c r="A23" s="3" t="str">
        <x:v>162_lai</x:v>
      </x:c>
      <x:c r="B23" s="3" t="n">
        <x:v>162</x:v>
      </x:c>
      <x:c r="C23" s="3" t="n">
        <x:v>240</x:v>
      </x:c>
      <x:c r="D23" s="3" t="n">
        <x:f>COUNTA('逐張量測'!A25:A31)</x:f>
        <x:v>7</x:v>
      </x:c>
      <x:c r="E23" s="3" t="n">
        <x:f>COUNT('逐張量測'!U25:U31)</x:f>
        <x:v>7</x:v>
      </x:c>
      <x:c r="F23" s="21" t="n">
        <x:f>AVERAGE('逐張量測'!U25:U31)</x:f>
        <x:v>462.85714285714283</x:v>
      </x:c>
      <x:c r="G23" s="21" t="n">
        <x:f>STDEV('逐張量測'!U25:U31)</x:f>
        <x:v>1.2149857925879117</x:v>
      </x:c>
      <x:c r="H23" s="3" t="n">
        <x:f>MIN('逐張量測'!U25:U31)</x:f>
        <x:v>462</x:v>
      </x:c>
      <x:c r="I23" s="3" t="n">
        <x:f>MAX('逐張量測'!U25:U31)</x:f>
        <x:v>465</x:v>
      </x:c>
      <x:c r="J23" s="14" t="n">
        <x:f>AVERAGE('逐張量測'!K25:K31)</x:f>
        <x:v>0.35000206272076967</x:v>
      </x:c>
      <x:c r="K23" s="14" t="n">
        <x:f>B23/F23</x:f>
        <x:v>0.35000000000000003</x:v>
      </x:c>
    </x:row>
    <x:row r="24" ht="26" customHeight="1">
      <x:c r="A24" s="19" t="str">
        <x:v>162_lai</x:v>
      </x:c>
      <x:c r="B24" s="19" t="n">
        <x:v>162</x:v>
      </x:c>
      <x:c r="C24" s="19" t="n">
        <x:v>260</x:v>
      </x:c>
      <x:c r="D24" s="19" t="n">
        <x:f>COUNTA('逐張量測'!A32:A38)</x:f>
        <x:v>7</x:v>
      </x:c>
      <x:c r="E24" s="19" t="n">
        <x:f>COUNT('逐張量測'!U32:U38)</x:f>
        <x:v>7</x:v>
      </x:c>
      <x:c r="F24" s="20" t="n">
        <x:f>AVERAGE('逐張量測'!U32:U38)</x:f>
        <x:v>428.42857142857144</x:v>
      </x:c>
      <x:c r="G24" s="20" t="n">
        <x:f>STDEV('逐張量測'!U32:U38)</x:f>
        <x:v>0.5345224838248488</x:v>
      </x:c>
      <x:c r="H24" s="19" t="n">
        <x:f>MIN('逐張量測'!U32:U38)</x:f>
        <x:v>428</x:v>
      </x:c>
      <x:c r="I24" s="19" t="n">
        <x:f>MAX('逐張量測'!U32:U38)</x:f>
        <x:v>429</x:v>
      </x:c>
      <x:c r="J24" s="22" t="n">
        <x:f>AVERAGE('逐張量測'!K32:K38)</x:f>
        <x:v>0.37812654635084536</x:v>
      </x:c>
      <x:c r="K24" s="22" t="n">
        <x:f>B24/F24</x:f>
        <x:v>0.3781260420140046</x:v>
      </x:c>
    </x:row>
    <x:row r="25" ht="26" customHeight="1">
      <x:c r="A25" s="3" t="str">
        <x:v>162_lai</x:v>
      </x:c>
      <x:c r="B25" s="3" t="n">
        <x:v>162</x:v>
      </x:c>
      <x:c r="C25" s="3" t="n">
        <x:v>300</x:v>
      </x:c>
      <x:c r="D25" s="3" t="n">
        <x:f>COUNTA('逐張量測'!A39:A44)</x:f>
        <x:v>6</x:v>
      </x:c>
      <x:c r="E25" s="3" t="n">
        <x:f>COUNT('逐張量測'!U39:U44)</x:f>
        <x:v>6</x:v>
      </x:c>
      <x:c r="F25" s="21" t="n">
        <x:f>AVERAGE('逐張量測'!U39:U44)</x:f>
        <x:v>377.5</x:v>
      </x:c>
      <x:c r="G25" s="21" t="n">
        <x:f>STDEV('逐張量測'!U39:U44)</x:f>
        <x:v>0.5477225575051661</x:v>
      </x:c>
      <x:c r="H25" s="3" t="n">
        <x:f>MIN('逐張量測'!U39:U44)</x:f>
        <x:v>377</x:v>
      </x:c>
      <x:c r="I25" s="3" t="n">
        <x:f>MAX('逐張量測'!U39:U44)</x:f>
        <x:v>378</x:v>
      </x:c>
      <x:c r="J25" s="14" t="n">
        <x:f>AVERAGE('逐張量測'!K39:K44)</x:f>
        <x:v>0.4291398256915498</x:v>
      </x:c>
      <x:c r="K25" s="14" t="n">
        <x:f>B25/F25</x:f>
        <x:v>0.4291390728476821</x:v>
      </x:c>
    </x:row>
    <x:row r="26" ht="26" customHeight="1">
      <x:c r="A26" s="19" t="str">
        <x:v>170_yang</x:v>
      </x:c>
      <x:c r="B26" s="19" t="n">
        <x:v>170</x:v>
      </x:c>
      <x:c r="C26" s="19" t="n">
        <x:v>180</x:v>
      </x:c>
      <x:c r="D26" s="19" t="n">
        <x:f>COUNTA('逐張量測'!A45:A50)</x:f>
        <x:v>6</x:v>
      </x:c>
      <x:c r="E26" s="19" t="n">
        <x:f>COUNT('逐張量測'!U45:U50)</x:f>
        <x:v>6</x:v>
      </x:c>
      <x:c r="F26" s="20" t="n">
        <x:f>AVERAGE('逐張量測'!U45:U50)</x:f>
        <x:v>626.5</x:v>
      </x:c>
      <x:c r="G26" s="20" t="n">
        <x:f>STDEV('逐張量測'!U45:U50)</x:f>
        <x:v>1.6431676725154984</x:v>
      </x:c>
      <x:c r="H26" s="19" t="n">
        <x:f>MIN('逐張量測'!U45:U50)</x:f>
        <x:v>624</x:v>
      </x:c>
      <x:c r="I26" s="19" t="n">
        <x:f>MAX('逐張量測'!U45:U50)</x:f>
        <x:v>629</x:v>
      </x:c>
      <x:c r="J26" s="22" t="n">
        <x:f>AVERAGE('逐張量測'!K45:K50)</x:f>
        <x:v>0.2713503184854286</x:v>
      </x:c>
      <x:c r="K26" s="22" t="n">
        <x:f>B26/F26</x:f>
        <x:v>0.2713487629688747</x:v>
      </x:c>
    </x:row>
    <x:row r="27" ht="26" customHeight="1">
      <x:c r="A27" s="3" t="str">
        <x:v>170_yang</x:v>
      </x:c>
      <x:c r="B27" s="3" t="n">
        <x:v>170</x:v>
      </x:c>
      <x:c r="C27" s="3" t="n">
        <x:v>200</x:v>
      </x:c>
      <x:c r="D27" s="3" t="n">
        <x:f>COUNTA('逐張量測'!A51:A56)</x:f>
        <x:v>6</x:v>
      </x:c>
      <x:c r="E27" s="3" t="n">
        <x:f>COUNT('逐張量測'!U51:U56)</x:f>
        <x:v>6</x:v>
      </x:c>
      <x:c r="F27" s="21" t="n">
        <x:f>AVERAGE('逐張量測'!U51:U56)</x:f>
        <x:v>566</x:v>
      </x:c>
      <x:c r="G27" s="21" t="n">
        <x:f>STDEV('逐張量測'!U51:U56)</x:f>
        <x:v>0.8944271909999159</x:v>
      </x:c>
      <x:c r="H27" s="3" t="n">
        <x:f>MIN('逐張量測'!U51:U56)</x:f>
        <x:v>565</x:v>
      </x:c>
      <x:c r="I27" s="3" t="n">
        <x:f>MAX('逐張量測'!U51:U56)</x:f>
        <x:v>567</x:v>
      </x:c>
      <x:c r="J27" s="14" t="n">
        <x:f>AVERAGE('逐張量測'!K51:K56)</x:f>
        <x:v>0.3003539819332128</x:v>
      </x:c>
      <x:c r="K27" s="14" t="n">
        <x:f>B27/F27</x:f>
        <x:v>0.3003533568904594</x:v>
      </x:c>
    </x:row>
    <x:row r="28" ht="26" customHeight="1">
      <x:c r="A28" s="19" t="str">
        <x:v>170_yang</x:v>
      </x:c>
      <x:c r="B28" s="19" t="n">
        <x:v>170</x:v>
      </x:c>
      <x:c r="C28" s="19" t="n">
        <x:v>220</x:v>
      </x:c>
      <x:c r="D28" s="19" t="n">
        <x:f>COUNTA('逐張量測'!A57:A65)</x:f>
        <x:v>9</x:v>
      </x:c>
      <x:c r="E28" s="19" t="n">
        <x:f>COUNT('逐張量測'!U57:U65)</x:f>
        <x:v>9</x:v>
      </x:c>
      <x:c r="F28" s="20" t="n">
        <x:f>AVERAGE('逐張量測'!U57:U65)</x:f>
        <x:v>517.6666666666666</x:v>
      </x:c>
      <x:c r="G28" s="20" t="n">
        <x:f>STDEV('逐張量測'!U57:U65)</x:f>
        <x:v>1</x:v>
      </x:c>
      <x:c r="H28" s="19" t="n">
        <x:f>MIN('逐張量測'!U57:U65)</x:f>
        <x:v>516</x:v>
      </x:c>
      <x:c r="I28" s="19" t="n">
        <x:f>MAX('逐張量測'!U57:U65)</x:f>
        <x:v>519</x:v>
      </x:c>
      <x:c r="J28" s="22" t="n">
        <x:f>AVERAGE('逐張量測'!K57:K65)</x:f>
        <x:v>0.3283977411205104</x:v>
      </x:c>
      <x:c r="K28" s="22" t="n">
        <x:f>B28/F28</x:f>
        <x:v>0.3283966516419833</x:v>
      </x:c>
    </x:row>
    <x:row r="29" ht="26" customHeight="1">
      <x:c r="A29" s="3" t="str">
        <x:v>170_yang</x:v>
      </x:c>
      <x:c r="B29" s="3" t="n">
        <x:v>170</x:v>
      </x:c>
      <x:c r="C29" s="3" t="n">
        <x:v>240</x:v>
      </x:c>
      <x:c r="D29" s="3" t="n">
        <x:f>COUNTA('逐張量測'!A66:A73)</x:f>
        <x:v>8</x:v>
      </x:c>
      <x:c r="E29" s="3" t="n">
        <x:f>COUNT('逐張量測'!U66:U73)</x:f>
        <x:v>8</x:v>
      </x:c>
      <x:c r="F29" s="21" t="n">
        <x:f>AVERAGE('逐張量測'!U66:U73)</x:f>
        <x:v>478.875</x:v>
      </x:c>
      <x:c r="G29" s="21" t="n">
        <x:f>STDEV('逐張量測'!U66:U73)</x:f>
        <x:v>1.246423454758225</x:v>
      </x:c>
      <x:c r="H29" s="3" t="n">
        <x:f>MIN('逐張量測'!U66:U73)</x:f>
        <x:v>477</x:v>
      </x:c>
      <x:c r="I29" s="3" t="n">
        <x:f>MAX('逐張量測'!U66:U73)</x:f>
        <x:v>481</x:v>
      </x:c>
      <x:c r="J29" s="14" t="n">
        <x:f>AVERAGE('逐張量測'!K66:K73)</x:f>
        <x:v>0.3550007980056264</x:v>
      </x:c>
      <x:c r="K29" s="14" t="n">
        <x:f>B29/F29</x:f>
        <x:v>0.3549986948577395</x:v>
      </x:c>
    </x:row>
    <x:row r="30" ht="26" customHeight="1">
      <x:c r="A30" s="19" t="str">
        <x:v>170_yang</x:v>
      </x:c>
      <x:c r="B30" s="19" t="n">
        <x:v>170</x:v>
      </x:c>
      <x:c r="C30" s="19" t="n">
        <x:v>260</x:v>
      </x:c>
      <x:c r="D30" s="19" t="n">
        <x:f>COUNTA('逐張量測'!A74:A83)</x:f>
        <x:v>10</x:v>
      </x:c>
      <x:c r="E30" s="19" t="n">
        <x:f>COUNT('逐張量測'!U74:U83)</x:f>
        <x:v>10</x:v>
      </x:c>
      <x:c r="F30" s="20" t="n">
        <x:f>AVERAGE('逐張量測'!U74:U83)</x:f>
        <x:v>442.8</x:v>
      </x:c>
      <x:c r="G30" s="20" t="n">
        <x:f>STDEV('逐張量測'!U74:U83)</x:f>
        <x:v>1.0327955589886446</x:v>
      </x:c>
      <x:c r="H30" s="19" t="n">
        <x:f>MIN('逐張量測'!U74:U83)</x:f>
        <x:v>441</x:v>
      </x:c>
      <x:c r="I30" s="19" t="n">
        <x:f>MAX('逐張量測'!U74:U83)</x:f>
        <x:v>444</x:v>
      </x:c>
      <x:c r="J30" s="22" t="n">
        <x:f>AVERAGE('逐張量測'!K74:K83)</x:f>
        <x:v>0.3839223865828187</x:v>
      </x:c>
      <x:c r="K30" s="22" t="n">
        <x:f>B30/F30</x:f>
        <x:v>0.3839205058717254</x:v>
      </x:c>
    </x:row>
    <x:row r="31" ht="26" customHeight="1">
      <x:c r="A31" s="3" t="str">
        <x:v>170_yang</x:v>
      </x:c>
      <x:c r="B31" s="3" t="n">
        <x:v>170</x:v>
      </x:c>
      <x:c r="C31" s="3" t="n">
        <x:v>300</x:v>
      </x:c>
      <x:c r="D31" s="3" t="n">
        <x:f>COUNTA('逐張量測'!A84:A89)</x:f>
        <x:v>6</x:v>
      </x:c>
      <x:c r="E31" s="3" t="n">
        <x:f>COUNT('逐張量測'!U84:U89)</x:f>
        <x:v>6</x:v>
      </x:c>
      <x:c r="F31" s="21" t="n">
        <x:f>AVERAGE('逐張量測'!U84:U89)</x:f>
        <x:v>388.6666666666667</x:v>
      </x:c>
      <x:c r="G31" s="21" t="n">
        <x:f>STDEV('逐張量測'!U84:U89)</x:f>
        <x:v>0.5163977794943223</x:v>
      </x:c>
      <x:c r="H31" s="3" t="n">
        <x:f>MIN('逐張量測'!U84:U89)</x:f>
        <x:v>388</x:v>
      </x:c>
      <x:c r="I31" s="3" t="n">
        <x:f>MAX('逐張量測'!U84:U89)</x:f>
        <x:v>389</x:v>
      </x:c>
      <x:c r="J31" s="14" t="n">
        <x:f>AVERAGE('逐張量測'!K84:K89)</x:f>
        <x:v>0.43739343987137697</x:v>
      </x:c>
      <x:c r="K31" s="14" t="n">
        <x:f>B31/F31</x:f>
        <x:v>0.4373927958833619</x:v>
      </x:c>
    </x:row>
    <x:row r="32" ht="26" customHeight="1">
      <x:c r="A32" s="19" t="str">
        <x:v>173_wang</x:v>
      </x:c>
      <x:c r="B32" s="19" t="n">
        <x:v>173</x:v>
      </x:c>
      <x:c r="C32" s="19" t="n">
        <x:v>180</x:v>
      </x:c>
      <x:c r="D32" s="19" t="n">
        <x:f>COUNTA('逐張量測'!A90:A94)</x:f>
        <x:v>5</x:v>
      </x:c>
      <x:c r="E32" s="19" t="n">
        <x:f>COUNT('逐張量測'!U90:U94)</x:f>
        <x:v>5</x:v>
      </x:c>
      <x:c r="F32" s="20" t="n">
        <x:f>AVERAGE('逐張量測'!U90:U94)</x:f>
        <x:v>669.4</x:v>
      </x:c>
      <x:c r="G32" s="20" t="n">
        <x:f>STDEV('逐張量測'!U90:U94)</x:f>
        <x:v>0.8944271909999159</x:v>
      </x:c>
      <x:c r="H32" s="19" t="n">
        <x:f>MIN('逐張量測'!U90:U94)</x:f>
        <x:v>668</x:v>
      </x:c>
      <x:c r="I32" s="19" t="n">
        <x:f>MAX('逐張量測'!U90:U94)</x:f>
        <x:v>670</x:v>
      </x:c>
      <x:c r="J32" s="22" t="n">
        <x:f>AVERAGE('逐張量測'!K90:K94)</x:f>
        <x:v>0.2584407638775057</x:v>
      </x:c>
      <x:c r="K32" s="22" t="n">
        <x:f>B32/F32</x:f>
        <x:v>0.25844039438302957</x:v>
      </x:c>
    </x:row>
    <x:row r="33" ht="26" customHeight="1">
      <x:c r="A33" s="3" t="str">
        <x:v>173_wang</x:v>
      </x:c>
      <x:c r="B33" s="3" t="n">
        <x:v>173</x:v>
      </x:c>
      <x:c r="C33" s="3" t="n">
        <x:v>190</x:v>
      </x:c>
      <x:c r="D33" s="3" t="n">
        <x:f>COUNTA('逐張量測'!A95:A99)</x:f>
        <x:v>5</x:v>
      </x:c>
      <x:c r="E33" s="3" t="n">
        <x:f>COUNT('逐張量測'!U95:U99)</x:f>
        <x:v>4</x:v>
      </x:c>
      <x:c r="F33" s="21" t="n">
        <x:f>AVERAGE('逐張量測'!U95:U99)</x:f>
        <x:v>630.5</x:v>
      </x:c>
      <x:c r="G33" s="21" t="n">
        <x:f>STDEV('逐張量測'!U95:U99)</x:f>
        <x:v>1.9148542155126762</x:v>
      </x:c>
      <x:c r="H33" s="3" t="n">
        <x:f>MIN('逐張量測'!U95:U99)</x:f>
        <x:v>628</x:v>
      </x:c>
      <x:c r="I33" s="3" t="n">
        <x:f>MAX('逐張量測'!U95:U99)</x:f>
        <x:v>632</x:v>
      </x:c>
      <x:c r="J33" s="14" t="n">
        <x:f>AVERAGE('逐張量測'!K95:K99)</x:f>
        <x:v>0.274387309009981</x:v>
      </x:c>
      <x:c r="K33" s="14" t="n">
        <x:f>B33/F33</x:f>
        <x:v>0.274385408406027</x:v>
      </x:c>
    </x:row>
    <x:row r="34" ht="26" customHeight="1">
      <x:c r="A34" s="19" t="str">
        <x:v>173_wang</x:v>
      </x:c>
      <x:c r="B34" s="19" t="n">
        <x:v>173</x:v>
      </x:c>
      <x:c r="C34" s="19" t="n">
        <x:v>200</x:v>
      </x:c>
      <x:c r="D34" s="19" t="n">
        <x:f>COUNTA('逐張量測'!A100:A104)</x:f>
        <x:v>5</x:v>
      </x:c>
      <x:c r="E34" s="19" t="n">
        <x:f>COUNT('逐張量測'!U100:U104)</x:f>
        <x:v>5</x:v>
      </x:c>
      <x:c r="F34" s="20" t="n">
        <x:f>AVERAGE('逐張量測'!U100:U104)</x:f>
        <x:v>604.8</x:v>
      </x:c>
      <x:c r="G34" s="20" t="n">
        <x:f>STDEV('逐張量測'!U100:U104)</x:f>
        <x:v>0.8366600265340756</x:v>
      </x:c>
      <x:c r="H34" s="19" t="n">
        <x:f>MIN('逐張量測'!U100:U104)</x:f>
        <x:v>604</x:v>
      </x:c>
      <x:c r="I34" s="19" t="n">
        <x:f>MAX('逐張量測'!U100:U104)</x:f>
        <x:v>606</x:v>
      </x:c>
      <x:c r="J34" s="22" t="n">
        <x:f>AVERAGE('逐張量測'!K100:K104)</x:f>
        <x:v>0.28604541128405436</x:v>
      </x:c>
      <x:c r="K34" s="22" t="n">
        <x:f>B34/F34</x:f>
        <x:v>0.28604497354497355</x:v>
      </x:c>
    </x:row>
    <x:row r="35" ht="26" customHeight="1">
      <x:c r="A35" s="3" t="str">
        <x:v>173_wang</x:v>
      </x:c>
      <x:c r="B35" s="3" t="n">
        <x:v>173</x:v>
      </x:c>
      <x:c r="C35" s="3" t="n">
        <x:v>250</x:v>
      </x:c>
      <x:c r="D35" s="3" t="n">
        <x:f>COUNTA('逐張量測'!A105:A109)</x:f>
        <x:v>5</x:v>
      </x:c>
      <x:c r="E35" s="3" t="n">
        <x:f>COUNT('逐張量測'!U105:U109)</x:f>
        <x:v>5</x:v>
      </x:c>
      <x:c r="F35" s="21" t="n">
        <x:f>AVERAGE('逐張量測'!U105:U109)</x:f>
        <x:v>488.2</x:v>
      </x:c>
      <x:c r="G35" s="21" t="n">
        <x:f>STDEV('逐張量測'!U105:U109)</x:f>
        <x:v>0.8366600265340756</x:v>
      </x:c>
      <x:c r="H35" s="3" t="n">
        <x:f>MIN('逐張量測'!U105:U109)</x:f>
        <x:v>487</x:v>
      </x:c>
      <x:c r="I35" s="3" t="n">
        <x:f>MAX('逐張量測'!U105:U109)</x:f>
        <x:v>489</x:v>
      </x:c>
      <x:c r="J35" s="14" t="n">
        <x:f>AVERAGE('逐張量測'!K105:K109)</x:f>
        <x:v>0.35436379904814047</x:v>
      </x:c>
      <x:c r="K35" s="14" t="n">
        <x:f>B35/F35</x:f>
        <x:v>0.354362965997542</x:v>
      </x:c>
    </x:row>
    <x:row r="36" ht="26" customHeight="1">
      <x:c r="A36" s="19" t="str">
        <x:v>188_huang</x:v>
      </x:c>
      <x:c r="B36" s="19" t="n">
        <x:v>188</x:v>
      </x:c>
      <x:c r="C36" s="19" t="n">
        <x:v>180</x:v>
      </x:c>
      <x:c r="D36" s="19" t="n">
        <x:f>COUNTA('逐張量測'!A110:A116)</x:f>
        <x:v>7</x:v>
      </x:c>
      <x:c r="E36" s="19" t="n">
        <x:f>COUNT('逐張量測'!U110:U116)</x:f>
        <x:v>7</x:v>
      </x:c>
      <x:c r="F36" s="20" t="n">
        <x:f>AVERAGE('逐張量測'!U110:U116)</x:f>
        <x:v>700.1428571428571</x:v>
      </x:c>
      <x:c r="G36" s="20" t="n">
        <x:f>STDEV('逐張量測'!U110:U116)</x:f>
        <x:v>1.4638501094227996</x:v>
      </x:c>
      <x:c r="H36" s="19" t="n">
        <x:f>MIN('逐張量測'!U110:U116)</x:f>
        <x:v>698</x:v>
      </x:c>
      <x:c r="I36" s="19" t="n">
        <x:f>MAX('逐張量測'!U110:U116)</x:f>
        <x:v>702</x:v>
      </x:c>
      <x:c r="J36" s="22" t="n">
        <x:f>AVERAGE('逐張量測'!K110:K116)</x:f>
        <x:v>0.26851763520982225</x:v>
      </x:c>
      <x:c r="K36" s="22" t="n">
        <x:f>B36/F36</x:f>
        <x:v>0.26851662925933484</x:v>
      </x:c>
    </x:row>
    <x:row r="37" ht="26" customHeight="1">
      <x:c r="A37" s="3" t="str">
        <x:v>188_huang</x:v>
      </x:c>
      <x:c r="B37" s="3" t="n">
        <x:v>188</x:v>
      </x:c>
      <x:c r="C37" s="3" t="n">
        <x:v>200</x:v>
      </x:c>
      <x:c r="D37" s="3" t="n">
        <x:f>COUNTA('逐張量測'!A117:A124)</x:f>
        <x:v>8</x:v>
      </x:c>
      <x:c r="E37" s="3" t="n">
        <x:f>COUNT('逐張量測'!U117:U124)</x:f>
        <x:v>8</x:v>
      </x:c>
      <x:c r="F37" s="21" t="n">
        <x:f>AVERAGE('逐張量測'!U117:U124)</x:f>
        <x:v>626.5</x:v>
      </x:c>
      <x:c r="G37" s="21" t="n">
        <x:f>STDEV('逐張量測'!U117:U124)</x:f>
        <x:v>0.7559289460184544</x:v>
      </x:c>
      <x:c r="H37" s="3" t="n">
        <x:f>MIN('逐張量測'!U117:U124)</x:f>
        <x:v>625</x:v>
      </x:c>
      <x:c r="I37" s="3" t="n">
        <x:f>MAX('逐張量測'!U117:U124)</x:f>
        <x:v>627</x:v>
      </x:c>
      <x:c r="J37" s="14" t="n">
        <x:f>AVERAGE('逐張量測'!K117:K124)</x:f>
        <x:v>0.30008019118373924</x:v>
      </x:c>
      <x:c r="K37" s="14" t="n">
        <x:f>B37/F37</x:f>
        <x:v>0.30007980845969673</x:v>
      </x:c>
    </x:row>
    <x:row r="38" ht="26" customHeight="1">
      <x:c r="A38" s="19" t="str">
        <x:v>188_huang</x:v>
      </x:c>
      <x:c r="B38" s="19" t="n">
        <x:v>188</x:v>
      </x:c>
      <x:c r="C38" s="19" t="n">
        <x:v>220</x:v>
      </x:c>
      <x:c r="D38" s="19" t="n">
        <x:f>COUNTA('逐張量測'!A125:A130)</x:f>
        <x:v>6</x:v>
      </x:c>
      <x:c r="E38" s="19" t="n">
        <x:f>COUNT('逐張量測'!U125:U130)</x:f>
        <x:v>6</x:v>
      </x:c>
      <x:c r="F38" s="20" t="n">
        <x:f>AVERAGE('逐張量測'!U125:U130)</x:f>
        <x:v>582.5</x:v>
      </x:c>
      <x:c r="G38" s="20" t="n">
        <x:f>STDEV('逐張量測'!U125:U130)</x:f>
        <x:v>1.8708286933869707</x:v>
      </x:c>
      <x:c r="H38" s="19" t="n">
        <x:f>MIN('逐張量測'!U125:U130)</x:f>
        <x:v>580</x:v>
      </x:c>
      <x:c r="I38" s="19" t="n">
        <x:f>MAX('逐張量測'!U125:U130)</x:f>
        <x:v>585</x:v>
      </x:c>
      <x:c r="J38" s="22" t="n">
        <x:f>AVERAGE('逐張量測'!K125:K130)</x:f>
        <x:v>0.32274955547912487</x:v>
      </x:c>
      <x:c r="K38" s="22" t="n">
        <x:f>B38/F38</x:f>
        <x:v>0.32274678111587984</x:v>
      </x:c>
    </x:row>
    <x:row r="39" ht="26" customHeight="1">
      <x:c r="A39" s="3" t="str">
        <x:v>188_huang</x:v>
      </x:c>
      <x:c r="B39" s="3" t="n">
        <x:v>188</x:v>
      </x:c>
      <x:c r="C39" s="3" t="n">
        <x:v>240</x:v>
      </x:c>
      <x:c r="D39" s="3" t="n">
        <x:f>COUNTA('逐張量測'!A131:A137)</x:f>
        <x:v>7</x:v>
      </x:c>
      <x:c r="E39" s="3" t="n">
        <x:f>COUNT('逐張量測'!U131:U137)</x:f>
        <x:v>7</x:v>
      </x:c>
      <x:c r="F39" s="21" t="n">
        <x:f>AVERAGE('逐張量測'!U131:U137)</x:f>
        <x:v>530</x:v>
      </x:c>
      <x:c r="G39" s="21" t="n">
        <x:f>STDEV('逐張量測'!U131:U137)</x:f>
        <x:v>1</x:v>
      </x:c>
      <x:c r="H39" s="3" t="n">
        <x:f>MIN('逐張量測'!U131:U137)</x:f>
        <x:v>529</x:v>
      </x:c>
      <x:c r="I39" s="3" t="n">
        <x:f>MAX('逐張量測'!U131:U137)</x:f>
        <x:v>532</x:v>
      </x:c>
      <x:c r="J39" s="14" t="n">
        <x:f>AVERAGE('逐張量測'!K131:K137)</x:f>
        <x:v>0.35471806149055674</x:v>
      </x:c>
      <x:c r="K39" s="14" t="n">
        <x:f>B39/F39</x:f>
        <x:v>0.35471698113207545</x:v>
      </x:c>
    </x:row>
    <x:row r="40" ht="26" customHeight="1">
      <x:c r="A40" s="19" t="str">
        <x:v>188_huang</x:v>
      </x:c>
      <x:c r="B40" s="19" t="n">
        <x:v>188</x:v>
      </x:c>
      <x:c r="C40" s="19" t="n">
        <x:v>260</x:v>
      </x:c>
      <x:c r="D40" s="19" t="n">
        <x:f>COUNTA('逐張量測'!A138:A144)</x:f>
        <x:v>7</x:v>
      </x:c>
      <x:c r="E40" s="19" t="n">
        <x:f>COUNT('逐張量測'!U138:U144)</x:f>
        <x:v>7</x:v>
      </x:c>
      <x:c r="F40" s="20" t="n">
        <x:f>AVERAGE('逐張量測'!U138:U144)</x:f>
        <x:v>493.7142857142857</x:v>
      </x:c>
      <x:c r="G40" s="20" t="n">
        <x:f>STDEV('逐張量測'!U138:U144)</x:f>
        <x:v>0.9511897312113418</x:v>
      </x:c>
      <x:c r="H40" s="19" t="n">
        <x:f>MIN('逐張量測'!U138:U144)</x:f>
        <x:v>492</x:v>
      </x:c>
      <x:c r="I40" s="19" t="n">
        <x:f>MAX('逐張量測'!U138:U144)</x:f>
        <x:v>495</x:v>
      </x:c>
      <x:c r="J40" s="22" t="n">
        <x:f>AVERAGE('逐張量測'!K138:K144)</x:f>
        <x:v>0.3807882499724905</x:v>
      </x:c>
      <x:c r="K40" s="22" t="n">
        <x:f>B40/F40</x:f>
        <x:v>0.38078703703703703</x:v>
      </x:c>
    </x:row>
    <x:row r="41" ht="26" customHeight="1">
      <x:c r="A41" s="3" t="str">
        <x:v>188_huang</x:v>
      </x:c>
      <x:c r="B41" s="3" t="n">
        <x:v>188</x:v>
      </x:c>
      <x:c r="C41" s="3" t="n">
        <x:v>300</x:v>
      </x:c>
      <x:c r="D41" s="3" t="n">
        <x:f>COUNTA('逐張量測'!A145:A150)</x:f>
        <x:v>6</x:v>
      </x:c>
      <x:c r="E41" s="3" t="n">
        <x:f>COUNT('逐張量測'!U145:U150)</x:f>
        <x:v>6</x:v>
      </x:c>
      <x:c r="F41" s="21" t="n">
        <x:f>AVERAGE('逐張量測'!U145:U150)</x:f>
        <x:v>432</x:v>
      </x:c>
      <x:c r="G41" s="21" t="n">
        <x:f>STDEV('逐張量測'!U145:U150)</x:f>
        <x:v>0.6324555320336759</x:v>
      </x:c>
      <x:c r="H41" s="3" t="n">
        <x:f>MIN('逐張量測'!U145:U150)</x:f>
        <x:v>431</x:v>
      </x:c>
      <x:c r="I41" s="3" t="n">
        <x:f>MAX('逐張量測'!U145:U150)</x:f>
        <x:v>433</x:v>
      </x:c>
      <x:c r="J41" s="14" t="n">
        <x:f>AVERAGE('逐張量測'!K145:K150)</x:f>
        <x:v>0.43518596248341956</x:v>
      </x:c>
      <x:c r="K41" s="14" t="n">
        <x:f>B41/F41</x:f>
        <x:v>0.4351851851851852</x:v>
      </x:c>
    </x:row>
    <x:row r="42" ht="26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</x:row>
    <x:row r="43" ht="26" customHeight="1">
      <x:c r="A43" s="3" t="str">
        <x:v>模型比較（固定分析結果；誤差單位 cm）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</x:row>
    <x:row r="44" ht="40" customHeight="1">
      <x:c r="A44" s="8" t="str">
        <x:v>模型</x:v>
      </x:c>
      <x:c r="B44" s="8" t="str">
        <x:v>擬合目標</x:v>
      </x:c>
      <x:c r="C44" s="8" t="str">
        <x:v>擬合 RMSE</x:v>
      </x:c>
      <x:c r="D44" s="8" t="str">
        <x:v>留距離 RMSE</x:v>
      </x:c>
      <x:c r="E44" s="8" t="str">
        <x:v>留受試者 RMSE</x:v>
      </x:c>
      <x:c r="F44" s="8" t="str">
        <x:v>參數</x:v>
      </x:c>
      <x:c r="G44" s="3"/>
      <x:c r="H44" s="3"/>
      <x:c r="I44" s="3"/>
      <x:c r="J44" s="3"/>
      <x:c r="K44" s="3"/>
    </x:row>
    <x:row r="45" ht="26" customHeight="1">
      <x:c r="A45" s="3" t="str">
        <x:v>h = k H / D</x:v>
      </x:c>
      <x:c r="B45" s="3" t="str">
        <x:v>height_px</x:v>
      </x:c>
      <x:c r="C45" s="10" t="n">
        <x:v>3.674674132612752</x:v>
      </x:c>
      <x:c r="D45" s="10" t="n">
        <x:v>3.8890550810376494</x:v>
      </x:c>
      <x:c r="E45" s="10" t="n">
        <x:v>3.9363997665710024</x:v>
      </x:c>
      <x:c r="F45" s="3" t="str">
        <x:v>676.8734205</x:v>
      </x:c>
      <x:c r="G45" s="3"/>
      <x:c r="H45" s="3"/>
      <x:c r="I45" s="3"/>
      <x:c r="J45" s="3"/>
      <x:c r="K45" s="3"/>
    </x:row>
    <x:row r="46" ht="26" customHeight="1">
      <x:c r="A46" s="3" t="str">
        <x:v>h = k H / (D + B)</x:v>
      </x:c>
      <x:c r="B46" s="3" t="str">
        <x:v>height_px</x:v>
      </x:c>
      <x:c r="C46" s="10" t="n">
        <x:v>3.199092495480579</x:v>
      </x:c>
      <x:c r="D46" s="10" t="n">
        <x:v>3.391542697938084</x:v>
      </x:c>
      <x:c r="E46" s="10" t="n">
        <x:v>3.9827818877853667</x:v>
      </x:c>
      <x:c r="F46" s="3" t="str">
        <x:v>725.1353733, 15.17319861</x:v>
      </x:c>
      <x:c r="G46" s="3"/>
      <x:c r="H46" s="3"/>
      <x:c r="I46" s="3"/>
      <x:c r="J46" s="3"/>
      <x:c r="K46" s="3"/>
    </x:row>
    <x:row r="47" ht="26" customHeight="1">
      <x:c r="A47" s="3" t="str">
        <x:v>h = H (k / D + c)</x:v>
      </x:c>
      <x:c r="B47" s="3" t="str">
        <x:v>height_px</x:v>
      </x:c>
      <x:c r="C47" s="10" t="n">
        <x:v>3.209878613293945</x:v>
      </x:c>
      <x:c r="D47" s="10" t="n">
        <x:v>3.4097168637885997</x:v>
      </x:c>
      <x:c r="E47" s="10" t="n">
        <x:v>3.9411556410688173</x:v>
      </x:c>
      <x:c r="F47" s="3" t="str">
        <x:v>636.0030907, 0.1878135477</x:v>
      </x:c>
      <x:c r="G47" s="3"/>
      <x:c r="H47" s="3"/>
      <x:c r="I47" s="3"/>
      <x:c r="J47" s="3"/>
      <x:c r="K47" s="3"/>
    </x:row>
    <x:row r="48" ht="26" customHeight="1">
      <x:c r="A48" s="3" t="str">
        <x:v>s = a D + b</x:v>
      </x:c>
      <x:c r="B48" s="3" t="str">
        <x:v>cm_per_px</x:v>
      </x:c>
      <x:c r="C48" s="10" t="n">
        <x:v>3.204867136984937</x:v>
      </x:c>
      <x:c r="D48" s="10" t="n">
        <x:v>3.340616635784901</x:v>
      </x:c>
      <x:c r="E48" s="10" t="n">
        <x:v>3.925273121205645</x:v>
      </x:c>
      <x:c r="F48" s="3" t="str">
        <x:v>0.001374586854, 0.02206336853</x:v>
      </x:c>
      <x:c r="G48" s="3"/>
      <x:c r="H48" s="3"/>
      <x:c r="I48" s="3"/>
      <x:c r="J48" s="3"/>
      <x:c r="K48" s="3"/>
    </x:row>
    <x:row r="49" ht="26" customHeight="1">
      <x:c r="A49" s="3" t="str">
        <x:v>s = a D</x:v>
      </x:c>
      <x:c r="B49" s="3" t="str">
        <x:v>cm_per_px</x:v>
      </x:c>
      <x:c r="C49" s="10" t="n">
        <x:v>3.6482929356277918</x:v>
      </x:c>
      <x:c r="D49" s="10" t="n">
        <x:v>3.8502776622350363</x:v>
      </x:c>
      <x:c r="E49" s="10" t="n">
        <x:v>3.8769840340415356</x:v>
      </x:c>
      <x:c r="F49" s="3" t="str">
        <x:v>0.001468243993</x:v>
      </x:c>
      <x:c r="G49" s="3"/>
      <x:c r="H49" s="3"/>
      <x:c r="I49" s="3"/>
      <x:c r="J49" s="3"/>
      <x:c r="K49" s="3"/>
    </x:row>
    <x:row r="50" ht="26" customHeight="1">
      <x:c r="A50" s="3" t="str">
        <x:v>s = a D² + b D + c</x:v>
      </x:c>
      <x:c r="B50" s="3" t="str">
        <x:v>cm_per_px</x:v>
      </x:c>
      <x:c r="C50" s="10" t="n">
        <x:v>3.2046509050531546</x:v>
      </x:c>
      <x:c r="D50" s="10" t="n">
        <x:v>3.7332424919466662</x:v>
      </x:c>
      <x:c r="E50" s="10" t="n">
        <x:v>4.024334117875058</x:v>
      </x:c>
      <x:c r="F50" s="3" t="str">
        <x:v>-1.594423218e-8, 0.001382144963, 0.02119152345</x:v>
      </x:c>
      <x:c r="G50" s="3"/>
      <x:c r="H50" s="3"/>
      <x:c r="I50" s="3"/>
      <x:c r="J50" s="3"/>
      <x:c r="K50" s="3"/>
    </x:row>
    <x:row r="51" ht="26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</x:row>
    <x:row r="52" ht="40" customHeight="1">
      <x:c r="A52" s="8" t="str">
        <x:v>受試者</x:v>
      </x:c>
      <x:c r="B52" s="8" t="str">
        <x:v>含鞋身高 cm</x:v>
      </x:c>
      <x:c r="C52" s="8" t="str">
        <x:v>總張數</x:v>
      </x:c>
      <x:c r="D52" s="8" t="str">
        <x:v>有效張數</x:v>
      </x:c>
      <x:c r="E52" s="8" t="str">
        <x:v>距離最短 cm</x:v>
      </x:c>
      <x:c r="F52" s="8" t="str">
        <x:v>距離最長 cm</x:v>
      </x:c>
      <x:c r="G52" s="8" t="str">
        <x:v>合併偏差 cm</x:v>
      </x:c>
      <x:c r="H52" s="8" t="str">
        <x:v>合併 RMSE cm</x:v>
      </x:c>
      <x:c r="I52" s="3"/>
      <x:c r="J52" s="3"/>
      <x:c r="K52" s="3"/>
    </x:row>
    <x:row r="53" ht="26" customHeight="1">
      <x:c r="A53" s="3" t="str">
        <x:v>162_lai</x:v>
      </x:c>
      <x:c r="B53" s="3" t="n">
        <x:v>162</x:v>
      </x:c>
      <x:c r="C53" s="3" t="n">
        <x:v>40</x:v>
      </x:c>
      <x:c r="D53" s="3" t="n">
        <x:v>40</x:v>
      </x:c>
      <x:c r="E53" s="3" t="n">
        <x:v>180</x:v>
      </x:c>
      <x:c r="F53" s="3" t="n">
        <x:v>300</x:v>
      </x:c>
      <x:c r="G53" s="10" t="n">
        <x:f>AVERAGE('逐張量測'!N5:N44)</x:f>
        <x:v>-0.35371243701100286</x:v>
      </x:c>
      <x:c r="H53" s="10" t="n">
        <x:f>SQRT(SUMPRODUCT('逐張量測'!N5:N44,'逐張量測'!N5:N44)/SUM('逐張量測'!I5:I44))</x:f>
        <x:v>3.599197563031105</x:v>
      </x:c>
      <x:c r="I53" s="3"/>
      <x:c r="J53" s="3"/>
      <x:c r="K53" s="3"/>
    </x:row>
    <x:row r="54" ht="26" customHeight="1">
      <x:c r="A54" s="3" t="str">
        <x:v>170_yang</x:v>
      </x:c>
      <x:c r="B54" s="3" t="n">
        <x:v>170</x:v>
      </x:c>
      <x:c r="C54" s="3" t="n">
        <x:v>45</x:v>
      </x:c>
      <x:c r="D54" s="3" t="n">
        <x:v>45</x:v>
      </x:c>
      <x:c r="E54" s="3" t="n">
        <x:v>180</x:v>
      </x:c>
      <x:c r="F54" s="3" t="n">
        <x:v>300</x:v>
      </x:c>
      <x:c r="G54" s="10" t="n">
        <x:f>AVERAGE('逐張量測'!N45:N89)</x:f>
        <x:v>-1.666853128804482</x:v>
      </x:c>
      <x:c r="H54" s="10" t="n">
        <x:f>SQRT(SUMPRODUCT('逐張量測'!N45:N89,'逐張量測'!N45:N89)/SUM('逐張量測'!I45:I89))</x:f>
        <x:v>1.7396376171002248</x:v>
      </x:c>
      <x:c r="I54" s="3"/>
      <x:c r="J54" s="3"/>
      <x:c r="K54" s="3"/>
    </x:row>
    <x:row r="55" ht="26" customHeight="1">
      <x:c r="A55" s="3" t="str">
        <x:v>173_wang</x:v>
      </x:c>
      <x:c r="B55" s="3" t="n">
        <x:v>173</x:v>
      </x:c>
      <x:c r="C55" s="3" t="n">
        <x:v>20</x:v>
      </x:c>
      <x:c r="D55" s="3" t="n">
        <x:v>19</x:v>
      </x:c>
      <x:c r="E55" s="3" t="n">
        <x:v>180</x:v>
      </x:c>
      <x:c r="F55" s="3" t="n">
        <x:v>250</x:v>
      </x:c>
      <x:c r="G55" s="10" t="n">
        <x:f>AVERAGE('逐張量測'!N90:N109)</x:f>
        <x:v>6.319268499237919</x:v>
      </x:c>
      <x:c r="H55" s="10" t="n">
        <x:f>SQRT(SUMPRODUCT('逐張量測'!N90:N109,'逐張量測'!N90:N109)/SUM('逐張量測'!I90:I109))</x:f>
        <x:v>6.373976437552747</x:v>
      </x:c>
      <x:c r="I55" s="3"/>
      <x:c r="J55" s="3"/>
      <x:c r="K55" s="3"/>
    </x:row>
    <x:row r="56" ht="26" customHeight="1">
      <x:c r="A56" s="3" t="str">
        <x:v>188_huang</x:v>
      </x:c>
      <x:c r="B56" s="3" t="n">
        <x:v>188</x:v>
      </x:c>
      <x:c r="C56" s="3" t="n">
        <x:v>41</x:v>
      </x:c>
      <x:c r="D56" s="3" t="n">
        <x:v>41</x:v>
      </x:c>
      <x:c r="E56" s="3" t="n">
        <x:v>180</x:v>
      </x:c>
      <x:c r="F56" s="3" t="n">
        <x:v>300</x:v>
      </x:c>
      <x:c r="G56" s="10" t="n">
        <x:f>AVERAGE('逐張量測'!N110:N150)</x:f>
        <x:v>-0.5239424717425658</x:v>
      </x:c>
      <x:c r="H56" s="10" t="n">
        <x:f>SQRT(SUMPRODUCT('逐張量測'!N110:N150,'逐張量測'!N110:N150)/SUM('逐張量測'!I110:I150))</x:f>
        <x:v>1.2400041352273967</x:v>
      </x:c>
      <x:c r="I56" s="3"/>
      <x:c r="J56" s="3"/>
      <x:c r="K56" s="3"/>
    </x:row>
    <x:row r="57" ht="26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</x:row>
    <x:row r="58" ht="26" customHeight="1">
      <x:c r="A58" s="3" t="str">
        <x:v>邊界判讀約 ±5～6 px，非統計信賴區間。身高與距離本身的不確定性未提供。</x:v>
      </x:c>
      <x:c r="B58" s="3"/>
      <x:c r="C58" s="3"/>
      <x:c r="D58" s="3"/>
      <x:c r="E58" s="3"/>
      <x:c r="F58" s="3"/>
      <x:c r="G58" s="3"/>
      <x:c r="H58" s="3"/>
      <x:c r="I58" s="3"/>
      <x:c r="J58" s="3"/>
      <x:c r="K58" s="3"/>
    </x:row>
    <x:row r="59" ht="26" customHeight="1">
      <x:c r="A59" s="3" t="str">
        <x:v>原公式在 260、300 cm 為外插。跨受試者與原公式的逐折誤差詳見分析報告。</x:v>
      </x:c>
      <x:c r="B59" s="3"/>
      <x:c r="C59" s="3"/>
      <x:c r="D59" s="3"/>
      <x:c r="E59" s="3"/>
      <x:c r="F59" s="3"/>
      <x:c r="G59" s="3"/>
      <x:c r="H59" s="3"/>
      <x:c r="I59" s="3"/>
      <x:c r="J59" s="3"/>
      <x:c r="K59" s="3"/>
    </x:row>
    <x:row r="60" ht="26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</x:row>
    <x:row r="61" ht="26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</x:row>
    <x:row r="62" ht="26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</x:row>
    <x:row r="63" ht="26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</x:row>
    <x:row r="64" ht="26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</x:row>
    <x:row r="65" ht="26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</x:row>
    <x:row r="66" ht="26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</x:row>
    <x:row r="67" ht="26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</x:row>
    <x:row r="68" ht="26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</x:row>
    <x:row r="69" ht="26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</x:row>
    <x:row r="70" ht="26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</x:row>
    <x:row r="71" ht="26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</x:row>
    <x:row r="72" ht="26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</x:row>
    <x:row r="73" ht="26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</x:row>
    <x:row r="74" ht="26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</x:row>
    <x:row r="75" ht="26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</x:row>
    <x:row r="76" ht="26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</x:row>
    <x:row r="77" ht="26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</x:row>
    <x:row r="78" ht="26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</x:row>
    <x:row r="79" ht="26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</x:row>
  </x:sheetData>
  <x:conditionalFormatting sqref="E11:E11">
    <x:cfRule type="containsText" dxfId="0" priority="1" operator="containsText" text="外插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.380001068115234" hidden="0" customWidth="1"/>
    <x:col min="2" max="2" width="14.380000114440918" hidden="0" customWidth="1"/>
    <x:col min="3" max="3" width="13.75" hidden="0" customWidth="1"/>
    <x:col min="4" max="4" width="12.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1.25" hidden="0" customWidth="1"/>
    <x:col min="10" max="10" width="13.130000114440918" hidden="0" customWidth="1"/>
    <x:col min="11" max="11" width="14.380000114440918" hidden="0" customWidth="1"/>
    <x:col min="12" max="12" width="13.75" hidden="0" customWidth="1"/>
    <x:col min="13" max="13" width="15.630000114440918" hidden="0" customWidth="1"/>
    <x:col min="14" max="14" width="15" hidden="0" customWidth="1"/>
    <x:col min="15" max="15" width="15.630000114440918" hidden="0" customWidth="1"/>
    <x:col min="16" max="16" width="15" hidden="0" customWidth="1"/>
    <x:col min="17" max="17" width="15.630000114440918" hidden="0" customWidth="1"/>
    <x:col min="18" max="18" width="15.630000114440918" hidden="0" customWidth="1"/>
    <x:col min="19" max="19" width="15" hidden="0" customWidth="1"/>
    <x:col min="20" max="20" width="15" hidden="0" customWidth="1"/>
    <x:col min="21" max="21" width="15.630000114440918" hidden="0" customWidth="1"/>
    <x:col min="22" max="22" width="40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4" customHeight="1">
      <x:c r="A2" s="4" t="str">
        <x:v>逐張量測與計算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6" customHeight="1">
      <x:c r="A3" s="3" t="str">
        <x:v>來源：output/各受試者原圖；身高由使用者確認含鞋。A–I、V 為標註，J–U 為計算。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48" customHeight="1">
      <x:c r="A4" s="8" t="str">
        <x:v>原圖相對路徑</x:v>
      </x:c>
      <x:c r="B4" s="8" t="str">
        <x:v>受試者</x:v>
      </x:c>
      <x:c r="C4" s="8" t="str">
        <x:v>含鞋身高 H (cm)</x:v>
      </x:c>
      <x:c r="D4" s="8" t="str">
        <x:v>距離 D (cm)</x:v>
      </x:c>
      <x:c r="E4" s="8" t="str">
        <x:v>x_min (px)</x:v>
      </x:c>
      <x:c r="F4" s="8" t="str">
        <x:v>y_min (px)</x:v>
      </x:c>
      <x:c r="G4" s="8" t="str">
        <x:v>x_max (px)</x:v>
      </x:c>
      <x:c r="H4" s="8" t="str">
        <x:v>y_max (px)</x:v>
      </x:c>
      <x:c r="I4" s="8" t="str">
        <x:v>納入 1/0</x:v>
      </x:c>
      <x:c r="J4" s="8" t="str">
        <x:v>可見高度 h (px)</x:v>
      </x:c>
      <x:c r="K4" s="8" t="str">
        <x:v>實測 H/h (cm/px)</x:v>
      </x:c>
      <x:c r="L4" s="8" t="str">
        <x:v>H/D</x:v>
      </x:c>
      <x:c r="M4" s="8" t="str">
        <x:v>直線身高 (cm)</x:v>
      </x:c>
      <x:c r="N4" s="8" t="str">
        <x:v>直線誤差 (cm)</x:v>
      </x:c>
      <x:c r="O4" s="8" t="str">
        <x:v>反比身高 (cm)</x:v>
      </x:c>
      <x:c r="P4" s="8" t="str">
        <x:v>反比誤差 (cm)</x:v>
      </x:c>
      <x:c r="Q4" s="8" t="str">
        <x:v>原直線誤差 (cm)</x:v>
      </x:c>
      <x:c r="R4" s="8" t="str">
        <x:v>原反比誤差 (cm)</x:v>
      </x:c>
      <x:c r="S4" s="8" t="str">
        <x:v>像素擬合分子</x:v>
      </x:c>
      <x:c r="T4" s="8" t="str">
        <x:v>像素擬合分母</x:v>
      </x:c>
      <x:c r="U4" s="8" t="str">
        <x:v>有效高度 (px)</x:v>
      </x:c>
      <x:c r="V4" s="8" t="str">
        <x:v>狀態與備註</x:v>
      </x:c>
    </x:row>
    <x:row r="5" ht="26" customHeight="1">
      <x:c r="A5" s="3" t="str">
        <x:v>162_lai/180 (1).jpg</x:v>
      </x:c>
      <x:c r="B5" s="3" t="str">
        <x:v>162_lai</x:v>
      </x:c>
      <x:c r="C5" s="16" t="n">
        <x:v>162</x:v>
      </x:c>
      <x:c r="D5" s="16" t="n">
        <x:v>180</x:v>
      </x:c>
      <x:c r="E5" s="16" t="n">
        <x:v>500</x:v>
      </x:c>
      <x:c r="F5" s="16" t="n">
        <x:v>101</x:v>
      </x:c>
      <x:c r="G5" s="16" t="n">
        <x:v>698</x:v>
      </x:c>
      <x:c r="H5" s="16" t="n">
        <x:v>672</x:v>
      </x:c>
      <x:c r="I5" s="16" t="n">
        <x:v>1</x:v>
      </x:c>
      <x:c r="J5" s="16" t="n">
        <x:f>H5-F5+1</x:f>
        <x:v>572</x:v>
      </x:c>
      <x:c r="K5" s="17" t="n">
        <x:f>IF(I5=1,C5/J5,"")</x:f>
        <x:v>0.28321678321678323</x:v>
      </x:c>
      <x:c r="L5" s="17" t="n">
        <x:f>C5/D5</x:f>
        <x:v>0.9</x:v>
      </x:c>
      <x:c r="M5" s="18" t="n">
        <x:f>IF(I5=1,J5*('校正統計'!$B$7*D5+'校正統計'!$B$8),"")</x:f>
        <x:v>154.1477093252721</x:v>
      </x:c>
      <x:c r="N5" s="18" t="n">
        <x:f>IF(I5=1,M5-C5,"")</x:f>
        <x:v>-7.852290674727897</x:v>
      </x:c>
      <x:c r="O5" s="18" t="n">
        <x:f>IF(I5=1,J5*D5/'校正統計'!$B$9,"")</x:f>
        <x:v>152.111158275293</x:v>
      </x:c>
      <x:c r="P5" s="18" t="n">
        <x:f>IF(I5=1,O5-C5,"")</x:f>
        <x:v>-9.888841724706992</x:v>
      </x:c>
      <x:c r="Q5" s="18" t="n">
        <x:f>IF(I5=1,J5*(0.0013599938652549585*D5+0.014432794417975773)-C5,"")</x:f>
        <x:v>-13.719473226267326</x:v>
      </x:c>
      <x:c r="R5" s="18" t="n">
        <x:f>IF(I5=1,J5*D5/697.7877515437722-C5,"")</x:f>
        <x:v>-14.447968924342291</x:v>
      </x:c>
      <x:c r="S5" s="18" t="n">
        <x:f>IF(I5=1,J5*L5,0)</x:f>
        <x:v>514.8000000000001</x:v>
      </x:c>
      <x:c r="T5" s="18" t="n">
        <x:f>IF(I5=1,L5^2,0)</x:f>
        <x:v>0.81</x:v>
      </x:c>
      <x:c r="U5" s="16" t="n">
        <x:f>IF(I5=1,J5,"")</x:f>
        <x:v>572</x:v>
      </x:c>
      <x:c r="V5" s="3" t="str">
        <x:v>完整頭腳；納入</x:v>
      </x:c>
    </x:row>
    <x:row r="6" ht="26" customHeight="1">
      <x:c r="A6" s="3" t="str">
        <x:v>162_lai/180 (2).jpg</x:v>
      </x:c>
      <x:c r="B6" s="3" t="str">
        <x:v>162_lai</x:v>
      </x:c>
      <x:c r="C6" s="16" t="n">
        <x:v>162</x:v>
      </x:c>
      <x:c r="D6" s="16" t="n">
        <x:v>180</x:v>
      </x:c>
      <x:c r="E6" s="16" t="n">
        <x:v>499</x:v>
      </x:c>
      <x:c r="F6" s="16" t="n">
        <x:v>103</x:v>
      </x:c>
      <x:c r="G6" s="16" t="n">
        <x:v>698</x:v>
      </x:c>
      <x:c r="H6" s="16" t="n">
        <x:v>673</x:v>
      </x:c>
      <x:c r="I6" s="16" t="n">
        <x:v>1</x:v>
      </x:c>
      <x:c r="J6" s="16" t="n">
        <x:f>H6-F6+1</x:f>
        <x:v>571</x:v>
      </x:c>
      <x:c r="K6" s="17" t="n">
        <x:f>IF(I6=1,C6/J6,"")</x:f>
        <x:v>0.28371278458844135</x:v>
      </x:c>
      <x:c r="L6" s="17" t="n">
        <x:f>C6/D6</x:f>
        <x:v>0.9</x:v>
      </x:c>
      <x:c r="M6" s="18" t="n">
        <x:f>IF(I6=1,J6*('校正統計'!$B$7*D6+'校正統計'!$B$8),"")</x:f>
        <x:v>153.87822032295517</x:v>
      </x:c>
      <x:c r="N6" s="18" t="n">
        <x:f>IF(I6=1,M6-C6,"")</x:f>
        <x:v>-8.121779677044827</x:v>
      </x:c>
      <x:c r="O6" s="18" t="n">
        <x:f>IF(I6=1,J6*D6/'校正統計'!$B$9,"")</x:f>
        <x:v>151.8452296769096</x:v>
      </x:c>
      <x:c r="P6" s="18" t="n">
        <x:f>IF(I6=1,O6-C6,"")</x:f>
        <x:v>-10.15477032309039</x:v>
      </x:c>
      <x:c r="Q6" s="18" t="n">
        <x:f>IF(I6=1,J6*(0.0013599938652549585*D6+0.014432794417975773)-C6,"")</x:f>
        <x:v>-13.978704916431184</x:v>
      </x:c>
      <x:c r="R6" s="18" t="n">
        <x:f>IF(I6=1,J6*D6/697.7877515437722-C6,"")</x:f>
        <x:v>-14.705927020628394</x:v>
      </x:c>
      <x:c r="S6" s="18" t="n">
        <x:f>IF(I6=1,J6*L6,0)</x:f>
        <x:v>513.9</x:v>
      </x:c>
      <x:c r="T6" s="18" t="n">
        <x:f>IF(I6=1,L6^2,0)</x:f>
        <x:v>0.81</x:v>
      </x:c>
      <x:c r="U6" s="16" t="n">
        <x:f>IF(I6=1,J6,"")</x:f>
        <x:v>571</x:v>
      </x:c>
      <x:c r="V6" s="3" t="str">
        <x:v>完整頭腳；納入</x:v>
      </x:c>
    </x:row>
    <x:row r="7" ht="26" customHeight="1">
      <x:c r="A7" s="3" t="str">
        <x:v>162_lai/180 (3).jpg</x:v>
      </x:c>
      <x:c r="B7" s="3" t="str">
        <x:v>162_lai</x:v>
      </x:c>
      <x:c r="C7" s="16" t="n">
        <x:v>162</x:v>
      </x:c>
      <x:c r="D7" s="16" t="n">
        <x:v>180</x:v>
      </x:c>
      <x:c r="E7" s="16" t="n">
        <x:v>500</x:v>
      </x:c>
      <x:c r="F7" s="16" t="n">
        <x:v>102</x:v>
      </x:c>
      <x:c r="G7" s="16" t="n">
        <x:v>699</x:v>
      </x:c>
      <x:c r="H7" s="16" t="n">
        <x:v>674</x:v>
      </x:c>
      <x:c r="I7" s="16" t="n">
        <x:v>1</x:v>
      </x:c>
      <x:c r="J7" s="16" t="n">
        <x:f>H7-F7+1</x:f>
        <x:v>573</x:v>
      </x:c>
      <x:c r="K7" s="17" t="n">
        <x:f>IF(I7=1,C7/J7,"")</x:f>
        <x:v>0.28272251308900526</x:v>
      </x:c>
      <x:c r="L7" s="17" t="n">
        <x:f>C7/D7</x:f>
        <x:v>0.9</x:v>
      </x:c>
      <x:c r="M7" s="18" t="n">
        <x:f>IF(I7=1,J7*('校正統計'!$B$7*D7+'校正統計'!$B$8),"")</x:f>
        <x:v>154.417198327589</x:v>
      </x:c>
      <x:c r="N7" s="18" t="n">
        <x:f>IF(I7=1,M7-C7,"")</x:f>
        <x:v>-7.582801672410994</x:v>
      </x:c>
      <x:c r="O7" s="18" t="n">
        <x:f>IF(I7=1,J7*D7/'校正統計'!$B$9,"")</x:f>
        <x:v>152.37708687367638</x:v>
      </x:c>
      <x:c r="P7" s="18" t="n">
        <x:f>IF(I7=1,O7-C7,"")</x:f>
        <x:v>-9.622913126323624</x:v>
      </x:c>
      <x:c r="Q7" s="18" t="n">
        <x:f>IF(I7=1,J7*(0.0013599938652549585*D7+0.014432794417975773)-C7,"")</x:f>
        <x:v>-13.460241536103439</x:v>
      </x:c>
      <x:c r="R7" s="18" t="n">
        <x:f>IF(I7=1,J7*D7/697.7877515437722-C7,"")</x:f>
        <x:v>-14.19001082805616</x:v>
      </x:c>
      <x:c r="S7" s="18" t="n">
        <x:f>IF(I7=1,J7*L7,0)</x:f>
        <x:v>515.7</x:v>
      </x:c>
      <x:c r="T7" s="18" t="n">
        <x:f>IF(I7=1,L7^2,0)</x:f>
        <x:v>0.81</x:v>
      </x:c>
      <x:c r="U7" s="16" t="n">
        <x:f>IF(I7=1,J7,"")</x:f>
        <x:v>573</x:v>
      </x:c>
      <x:c r="V7" s="3" t="str">
        <x:v>完整頭腳；納入</x:v>
      </x:c>
    </x:row>
    <x:row r="8" ht="26" customHeight="1">
      <x:c r="A8" s="3" t="str">
        <x:v>162_lai/180 (4).jpg</x:v>
      </x:c>
      <x:c r="B8" s="3" t="str">
        <x:v>162_lai</x:v>
      </x:c>
      <x:c r="C8" s="16" t="n">
        <x:v>162</x:v>
      </x:c>
      <x:c r="D8" s="16" t="n">
        <x:v>180</x:v>
      </x:c>
      <x:c r="E8" s="16" t="n">
        <x:v>504</x:v>
      </x:c>
      <x:c r="F8" s="16" t="n">
        <x:v>97</x:v>
      </x:c>
      <x:c r="G8" s="16" t="n">
        <x:v>700</x:v>
      </x:c>
      <x:c r="H8" s="16" t="n">
        <x:v>668</x:v>
      </x:c>
      <x:c r="I8" s="16" t="n">
        <x:v>1</x:v>
      </x:c>
      <x:c r="J8" s="16" t="n">
        <x:f>H8-F8+1</x:f>
        <x:v>572</x:v>
      </x:c>
      <x:c r="K8" s="17" t="n">
        <x:f>IF(I8=1,C8/J8,"")</x:f>
        <x:v>0.28321678321678323</x:v>
      </x:c>
      <x:c r="L8" s="17" t="n">
        <x:f>C8/D8</x:f>
        <x:v>0.9</x:v>
      </x:c>
      <x:c r="M8" s="18" t="n">
        <x:f>IF(I8=1,J8*('校正統計'!$B$7*D8+'校正統計'!$B$8),"")</x:f>
        <x:v>154.1477093252721</x:v>
      </x:c>
      <x:c r="N8" s="18" t="n">
        <x:f>IF(I8=1,M8-C8,"")</x:f>
        <x:v>-7.852290674727897</x:v>
      </x:c>
      <x:c r="O8" s="18" t="n">
        <x:f>IF(I8=1,J8*D8/'校正統計'!$B$9,"")</x:f>
        <x:v>152.111158275293</x:v>
      </x:c>
      <x:c r="P8" s="18" t="n">
        <x:f>IF(I8=1,O8-C8,"")</x:f>
        <x:v>-9.888841724706992</x:v>
      </x:c>
      <x:c r="Q8" s="18" t="n">
        <x:f>IF(I8=1,J8*(0.0013599938652549585*D8+0.014432794417975773)-C8,"")</x:f>
        <x:v>-13.719473226267326</x:v>
      </x:c>
      <x:c r="R8" s="18" t="n">
        <x:f>IF(I8=1,J8*D8/697.7877515437722-C8,"")</x:f>
        <x:v>-14.447968924342291</x:v>
      </x:c>
      <x:c r="S8" s="18" t="n">
        <x:f>IF(I8=1,J8*L8,0)</x:f>
        <x:v>514.8000000000001</x:v>
      </x:c>
      <x:c r="T8" s="18" t="n">
        <x:f>IF(I8=1,L8^2,0)</x:f>
        <x:v>0.81</x:v>
      </x:c>
      <x:c r="U8" s="16" t="n">
        <x:f>IF(I8=1,J8,"")</x:f>
        <x:v>572</x:v>
      </x:c>
      <x:c r="V8" s="3" t="str">
        <x:v>完整頭腳；納入</x:v>
      </x:c>
    </x:row>
    <x:row r="9" ht="26" customHeight="1">
      <x:c r="A9" s="3" t="str">
        <x:v>162_lai/180 (5).jpg</x:v>
      </x:c>
      <x:c r="B9" s="3" t="str">
        <x:v>162_lai</x:v>
      </x:c>
      <x:c r="C9" s="16" t="n">
        <x:v>162</x:v>
      </x:c>
      <x:c r="D9" s="16" t="n">
        <x:v>180</x:v>
      </x:c>
      <x:c r="E9" s="16" t="n">
        <x:v>501</x:v>
      </x:c>
      <x:c r="F9" s="16" t="n">
        <x:v>102</x:v>
      </x:c>
      <x:c r="G9" s="16" t="n">
        <x:v>700</x:v>
      </x:c>
      <x:c r="H9" s="16" t="n">
        <x:v>672</x:v>
      </x:c>
      <x:c r="I9" s="16" t="n">
        <x:v>1</x:v>
      </x:c>
      <x:c r="J9" s="16" t="n">
        <x:f>H9-F9+1</x:f>
        <x:v>571</x:v>
      </x:c>
      <x:c r="K9" s="17" t="n">
        <x:f>IF(I9=1,C9/J9,"")</x:f>
        <x:v>0.28371278458844135</x:v>
      </x:c>
      <x:c r="L9" s="17" t="n">
        <x:f>C9/D9</x:f>
        <x:v>0.9</x:v>
      </x:c>
      <x:c r="M9" s="18" t="n">
        <x:f>IF(I9=1,J9*('校正統計'!$B$7*D9+'校正統計'!$B$8),"")</x:f>
        <x:v>153.87822032295517</x:v>
      </x:c>
      <x:c r="N9" s="18" t="n">
        <x:f>IF(I9=1,M9-C9,"")</x:f>
        <x:v>-8.121779677044827</x:v>
      </x:c>
      <x:c r="O9" s="18" t="n">
        <x:f>IF(I9=1,J9*D9/'校正統計'!$B$9,"")</x:f>
        <x:v>151.8452296769096</x:v>
      </x:c>
      <x:c r="P9" s="18" t="n">
        <x:f>IF(I9=1,O9-C9,"")</x:f>
        <x:v>-10.15477032309039</x:v>
      </x:c>
      <x:c r="Q9" s="18" t="n">
        <x:f>IF(I9=1,J9*(0.0013599938652549585*D9+0.014432794417975773)-C9,"")</x:f>
        <x:v>-13.978704916431184</x:v>
      </x:c>
      <x:c r="R9" s="18" t="n">
        <x:f>IF(I9=1,J9*D9/697.7877515437722-C9,"")</x:f>
        <x:v>-14.705927020628394</x:v>
      </x:c>
      <x:c r="S9" s="18" t="n">
        <x:f>IF(I9=1,J9*L9,0)</x:f>
        <x:v>513.9</x:v>
      </x:c>
      <x:c r="T9" s="18" t="n">
        <x:f>IF(I9=1,L9^2,0)</x:f>
        <x:v>0.81</x:v>
      </x:c>
      <x:c r="U9" s="16" t="n">
        <x:f>IF(I9=1,J9,"")</x:f>
        <x:v>571</x:v>
      </x:c>
      <x:c r="V9" s="3" t="str">
        <x:v>完整頭腳；納入</x:v>
      </x:c>
    </x:row>
    <x:row r="10" ht="26" customHeight="1">
      <x:c r="A10" s="3" t="str">
        <x:v>162_lai/180 (6).jpg</x:v>
      </x:c>
      <x:c r="B10" s="3" t="str">
        <x:v>162_lai</x:v>
      </x:c>
      <x:c r="C10" s="16" t="n">
        <x:v>162</x:v>
      </x:c>
      <x:c r="D10" s="16" t="n">
        <x:v>180</x:v>
      </x:c>
      <x:c r="E10" s="16" t="n">
        <x:v>501</x:v>
      </x:c>
      <x:c r="F10" s="16" t="n">
        <x:v>102</x:v>
      </x:c>
      <x:c r="G10" s="16" t="n">
        <x:v>699</x:v>
      </x:c>
      <x:c r="H10" s="16" t="n">
        <x:v>672</x:v>
      </x:c>
      <x:c r="I10" s="16" t="n">
        <x:v>1</x:v>
      </x:c>
      <x:c r="J10" s="16" t="n">
        <x:f>H10-F10+1</x:f>
        <x:v>571</x:v>
      </x:c>
      <x:c r="K10" s="17" t="n">
        <x:f>IF(I10=1,C10/J10,"")</x:f>
        <x:v>0.28371278458844135</x:v>
      </x:c>
      <x:c r="L10" s="17" t="n">
        <x:f>C10/D10</x:f>
        <x:v>0.9</x:v>
      </x:c>
      <x:c r="M10" s="18" t="n">
        <x:f>IF(I10=1,J10*('校正統計'!$B$7*D10+'校正統計'!$B$8),"")</x:f>
        <x:v>153.87822032295517</x:v>
      </x:c>
      <x:c r="N10" s="18" t="n">
        <x:f>IF(I10=1,M10-C10,"")</x:f>
        <x:v>-8.121779677044827</x:v>
      </x:c>
      <x:c r="O10" s="18" t="n">
        <x:f>IF(I10=1,J10*D10/'校正統計'!$B$9,"")</x:f>
        <x:v>151.8452296769096</x:v>
      </x:c>
      <x:c r="P10" s="18" t="n">
        <x:f>IF(I10=1,O10-C10,"")</x:f>
        <x:v>-10.15477032309039</x:v>
      </x:c>
      <x:c r="Q10" s="18" t="n">
        <x:f>IF(I10=1,J10*(0.0013599938652549585*D10+0.014432794417975773)-C10,"")</x:f>
        <x:v>-13.978704916431184</x:v>
      </x:c>
      <x:c r="R10" s="18" t="n">
        <x:f>IF(I10=1,J10*D10/697.7877515437722-C10,"")</x:f>
        <x:v>-14.705927020628394</x:v>
      </x:c>
      <x:c r="S10" s="18" t="n">
        <x:f>IF(I10=1,J10*L10,0)</x:f>
        <x:v>513.9</x:v>
      </x:c>
      <x:c r="T10" s="18" t="n">
        <x:f>IF(I10=1,L10^2,0)</x:f>
        <x:v>0.81</x:v>
      </x:c>
      <x:c r="U10" s="16" t="n">
        <x:f>IF(I10=1,J10,"")</x:f>
        <x:v>571</x:v>
      </x:c>
      <x:c r="V10" s="3" t="str">
        <x:v>完整頭腳；納入</x:v>
      </x:c>
    </x:row>
    <x:row r="11" ht="26" customHeight="1">
      <x:c r="A11" s="3" t="str">
        <x:v>162_lai/180 (7).jpg</x:v>
      </x:c>
      <x:c r="B11" s="3" t="str">
        <x:v>162_lai</x:v>
      </x:c>
      <x:c r="C11" s="16" t="n">
        <x:v>162</x:v>
      </x:c>
      <x:c r="D11" s="16" t="n">
        <x:v>180</x:v>
      </x:c>
      <x:c r="E11" s="16" t="n">
        <x:v>500</x:v>
      </x:c>
      <x:c r="F11" s="16" t="n">
        <x:v>101</x:v>
      </x:c>
      <x:c r="G11" s="16" t="n">
        <x:v>699</x:v>
      </x:c>
      <x:c r="H11" s="16" t="n">
        <x:v>673</x:v>
      </x:c>
      <x:c r="I11" s="16" t="n">
        <x:v>1</x:v>
      </x:c>
      <x:c r="J11" s="16" t="n">
        <x:f>H11-F11+1</x:f>
        <x:v>573</x:v>
      </x:c>
      <x:c r="K11" s="17" t="n">
        <x:f>IF(I11=1,C11/J11,"")</x:f>
        <x:v>0.28272251308900526</x:v>
      </x:c>
      <x:c r="L11" s="17" t="n">
        <x:f>C11/D11</x:f>
        <x:v>0.9</x:v>
      </x:c>
      <x:c r="M11" s="18" t="n">
        <x:f>IF(I11=1,J11*('校正統計'!$B$7*D11+'校正統計'!$B$8),"")</x:f>
        <x:v>154.417198327589</x:v>
      </x:c>
      <x:c r="N11" s="18" t="n">
        <x:f>IF(I11=1,M11-C11,"")</x:f>
        <x:v>-7.582801672410994</x:v>
      </x:c>
      <x:c r="O11" s="18" t="n">
        <x:f>IF(I11=1,J11*D11/'校正統計'!$B$9,"")</x:f>
        <x:v>152.37708687367638</x:v>
      </x:c>
      <x:c r="P11" s="18" t="n">
        <x:f>IF(I11=1,O11-C11,"")</x:f>
        <x:v>-9.622913126323624</x:v>
      </x:c>
      <x:c r="Q11" s="18" t="n">
        <x:f>IF(I11=1,J11*(0.0013599938652549585*D11+0.014432794417975773)-C11,"")</x:f>
        <x:v>-13.460241536103439</x:v>
      </x:c>
      <x:c r="R11" s="18" t="n">
        <x:f>IF(I11=1,J11*D11/697.7877515437722-C11,"")</x:f>
        <x:v>-14.19001082805616</x:v>
      </x:c>
      <x:c r="S11" s="18" t="n">
        <x:f>IF(I11=1,J11*L11,0)</x:f>
        <x:v>515.7</x:v>
      </x:c>
      <x:c r="T11" s="18" t="n">
        <x:f>IF(I11=1,L11^2,0)</x:f>
        <x:v>0.81</x:v>
      </x:c>
      <x:c r="U11" s="16" t="n">
        <x:f>IF(I11=1,J11,"")</x:f>
        <x:v>573</x:v>
      </x:c>
      <x:c r="V11" s="3" t="str">
        <x:v>完整頭腳；納入</x:v>
      </x:c>
    </x:row>
    <x:row r="12" ht="26" customHeight="1">
      <x:c r="A12" s="3" t="str">
        <x:v>162_lai/200 (1).jpg</x:v>
      </x:c>
      <x:c r="B12" s="3" t="str">
        <x:v>162_lai</x:v>
      </x:c>
      <x:c r="C12" s="16" t="n">
        <x:v>162</x:v>
      </x:c>
      <x:c r="D12" s="16" t="n">
        <x:v>200</x:v>
      </x:c>
      <x:c r="E12" s="16" t="n">
        <x:v>497</x:v>
      </x:c>
      <x:c r="F12" s="16" t="n">
        <x:v>104</x:v>
      </x:c>
      <x:c r="G12" s="16" t="n">
        <x:v>690</x:v>
      </x:c>
      <x:c r="H12" s="16" t="n">
        <x:v>658</x:v>
      </x:c>
      <x:c r="I12" s="16" t="n">
        <x:v>1</x:v>
      </x:c>
      <x:c r="J12" s="16" t="n">
        <x:f>H12-F12+1</x:f>
        <x:v>555</x:v>
      </x:c>
      <x:c r="K12" s="17" t="n">
        <x:f>IF(I12=1,C12/J12,"")</x:f>
        <x:v>0.2918918918918919</x:v>
      </x:c>
      <x:c r="L12" s="17" t="n">
        <x:f>C12/D12</x:f>
        <x:v>0.81</x:v>
      </x:c>
      <x:c r="M12" s="18" t="n">
        <x:f>IF(I12=1,J12*('校正統計'!$B$7*D12+'校正統計'!$B$8),"")</x:f>
        <x:v>164.8243103693899</x:v>
      </x:c>
      <x:c r="N12" s="18" t="n">
        <x:f>IF(I12=1,M12-C12,"")</x:f>
        <x:v>2.824310369389906</x:v>
      </x:c>
      <x:c r="O12" s="18" t="n">
        <x:f>IF(I12=1,J12*D12/'校正統計'!$B$9,"")</x:f>
        <x:v>163.98930233641727</x:v>
      </x:c>
      <x:c r="P12" s="18" t="n">
        <x:f>IF(I12=1,O12-C12,"")</x:f>
        <x:v>1.9893023364172677</x:v>
      </x:c>
      <x:c r="Q12" s="18" t="n">
        <x:f>IF(I12=1,J12*(0.0013599938652549585*D12+0.014432794417975773)-C12,"")</x:f>
        <x:v>-3.030480054723057</x:v>
      </x:c>
      <x:c r="R12" s="18" t="n">
        <x:f>IF(I12=1,J12*D12/697.7877515437722-C12,"")</x:f>
        <x:v>-2.925840623562493</x:v>
      </x:c>
      <x:c r="S12" s="18" t="n">
        <x:f>IF(I12=1,J12*L12,0)</x:f>
        <x:v>449.55</x:v>
      </x:c>
      <x:c r="T12" s="18" t="n">
        <x:f>IF(I12=1,L12^2,0)</x:f>
        <x:v>0.6561000000000001</x:v>
      </x:c>
      <x:c r="U12" s="16" t="n">
        <x:f>IF(I12=1,J12,"")</x:f>
        <x:v>555</x:v>
      </x:c>
      <x:c r="V12" s="3" t="str">
        <x:v>完整頭腳；納入</x:v>
      </x:c>
    </x:row>
    <x:row r="13" ht="26" customHeight="1">
      <x:c r="A13" s="3" t="str">
        <x:v>162_lai/200 (2).jpg</x:v>
      </x:c>
      <x:c r="B13" s="3" t="str">
        <x:v>162_lai</x:v>
      </x:c>
      <x:c r="C13" s="16" t="n">
        <x:v>162</x:v>
      </x:c>
      <x:c r="D13" s="16" t="n">
        <x:v>200</x:v>
      </x:c>
      <x:c r="E13" s="16" t="n">
        <x:v>496</x:v>
      </x:c>
      <x:c r="F13" s="16" t="n">
        <x:v>107</x:v>
      </x:c>
      <x:c r="G13" s="16" t="n">
        <x:v>691</x:v>
      </x:c>
      <x:c r="H13" s="16" t="n">
        <x:v>660</x:v>
      </x:c>
      <x:c r="I13" s="16" t="n">
        <x:v>1</x:v>
      </x:c>
      <x:c r="J13" s="16" t="n">
        <x:f>H13-F13+1</x:f>
        <x:v>554</x:v>
      </x:c>
      <x:c r="K13" s="17" t="n">
        <x:f>IF(I13=1,C13/J13,"")</x:f>
        <x:v>0.2924187725631769</x:v>
      </x:c>
      <x:c r="L13" s="17" t="n">
        <x:f>C13/D13</x:f>
        <x:v>0.81</x:v>
      </x:c>
      <x:c r="M13" s="18" t="n">
        <x:f>IF(I13=1,J13*('校正統計'!$B$7*D13+'校正統計'!$B$8),"")</x:f>
        <x:v>164.5273296299856</x:v>
      </x:c>
      <x:c r="N13" s="18" t="n">
        <x:f>IF(I13=1,M13-C13,"")</x:f>
        <x:v>2.527329629985587</x:v>
      </x:c>
      <x:c r="O13" s="18" t="n">
        <x:f>IF(I13=1,J13*D13/'校正統計'!$B$9,"")</x:f>
        <x:v>163.6938261159913</x:v>
      </x:c>
      <x:c r="P13" s="18" t="n">
        <x:f>IF(I13=1,O13-C13,"")</x:f>
        <x:v>1.6938261159912997</x:v>
      </x:c>
      <x:c r="Q13" s="18" t="n">
        <x:f>IF(I13=1,J13*(0.0013599938652549585*D13+0.014432794417975773)-C13,"")</x:f>
        <x:v>-3.316911622192009</x:v>
      </x:c>
      <x:c r="R13" s="18" t="n">
        <x:f>IF(I13=1,J13*D13/697.7877515437722-C13,"")</x:f>
        <x:v>-3.2124607305470647</x:v>
      </x:c>
      <x:c r="S13" s="18" t="n">
        <x:f>IF(I13=1,J13*L13,0)</x:f>
        <x:v>448.74</x:v>
      </x:c>
      <x:c r="T13" s="18" t="n">
        <x:f>IF(I13=1,L13^2,0)</x:f>
        <x:v>0.6561000000000001</x:v>
      </x:c>
      <x:c r="U13" s="16" t="n">
        <x:f>IF(I13=1,J13,"")</x:f>
        <x:v>554</x:v>
      </x:c>
      <x:c r="V13" s="3" t="str">
        <x:v>完整頭腳；納入</x:v>
      </x:c>
    </x:row>
    <x:row r="14" ht="26" customHeight="1">
      <x:c r="A14" s="3" t="str">
        <x:v>162_lai/200 (3).jpg</x:v>
      </x:c>
      <x:c r="B14" s="3" t="str">
        <x:v>162_lai</x:v>
      </x:c>
      <x:c r="C14" s="16" t="n">
        <x:v>162</x:v>
      </x:c>
      <x:c r="D14" s="16" t="n">
        <x:v>200</x:v>
      </x:c>
      <x:c r="E14" s="16" t="n">
        <x:v>496</x:v>
      </x:c>
      <x:c r="F14" s="16" t="n">
        <x:v>107</x:v>
      </x:c>
      <x:c r="G14" s="16" t="n">
        <x:v>692</x:v>
      </x:c>
      <x:c r="H14" s="16" t="n">
        <x:v>661</x:v>
      </x:c>
      <x:c r="I14" s="16" t="n">
        <x:v>1</x:v>
      </x:c>
      <x:c r="J14" s="16" t="n">
        <x:f>H14-F14+1</x:f>
        <x:v>555</x:v>
      </x:c>
      <x:c r="K14" s="17" t="n">
        <x:f>IF(I14=1,C14/J14,"")</x:f>
        <x:v>0.2918918918918919</x:v>
      </x:c>
      <x:c r="L14" s="17" t="n">
        <x:f>C14/D14</x:f>
        <x:v>0.81</x:v>
      </x:c>
      <x:c r="M14" s="18" t="n">
        <x:f>IF(I14=1,J14*('校正統計'!$B$7*D14+'校正統計'!$B$8),"")</x:f>
        <x:v>164.8243103693899</x:v>
      </x:c>
      <x:c r="N14" s="18" t="n">
        <x:f>IF(I14=1,M14-C14,"")</x:f>
        <x:v>2.824310369389906</x:v>
      </x:c>
      <x:c r="O14" s="18" t="n">
        <x:f>IF(I14=1,J14*D14/'校正統計'!$B$9,"")</x:f>
        <x:v>163.98930233641727</x:v>
      </x:c>
      <x:c r="P14" s="18" t="n">
        <x:f>IF(I14=1,O14-C14,"")</x:f>
        <x:v>1.9893023364172677</x:v>
      </x:c>
      <x:c r="Q14" s="18" t="n">
        <x:f>IF(I14=1,J14*(0.0013599938652549585*D14+0.014432794417975773)-C14,"")</x:f>
        <x:v>-3.030480054723057</x:v>
      </x:c>
      <x:c r="R14" s="18" t="n">
        <x:f>IF(I14=1,J14*D14/697.7877515437722-C14,"")</x:f>
        <x:v>-2.925840623562493</x:v>
      </x:c>
      <x:c r="S14" s="18" t="n">
        <x:f>IF(I14=1,J14*L14,0)</x:f>
        <x:v>449.55</x:v>
      </x:c>
      <x:c r="T14" s="18" t="n">
        <x:f>IF(I14=1,L14^2,0)</x:f>
        <x:v>0.6561000000000001</x:v>
      </x:c>
      <x:c r="U14" s="16" t="n">
        <x:f>IF(I14=1,J14,"")</x:f>
        <x:v>555</x:v>
      </x:c>
      <x:c r="V14" s="3" t="str">
        <x:v>完整頭腳；納入</x:v>
      </x:c>
    </x:row>
    <x:row r="15" ht="26" customHeight="1">
      <x:c r="A15" s="3" t="str">
        <x:v>162_lai/200 (4).jpg</x:v>
      </x:c>
      <x:c r="B15" s="3" t="str">
        <x:v>162_lai</x:v>
      </x:c>
      <x:c r="C15" s="16" t="n">
        <x:v>162</x:v>
      </x:c>
      <x:c r="D15" s="16" t="n">
        <x:v>200</x:v>
      </x:c>
      <x:c r="E15" s="16" t="n">
        <x:v>496</x:v>
      </x:c>
      <x:c r="F15" s="16" t="n">
        <x:v>108</x:v>
      </x:c>
      <x:c r="G15" s="16" t="n">
        <x:v>692</x:v>
      </x:c>
      <x:c r="H15" s="16" t="n">
        <x:v>661</x:v>
      </x:c>
      <x:c r="I15" s="16" t="n">
        <x:v>1</x:v>
      </x:c>
      <x:c r="J15" s="16" t="n">
        <x:f>H15-F15+1</x:f>
        <x:v>554</x:v>
      </x:c>
      <x:c r="K15" s="17" t="n">
        <x:f>IF(I15=1,C15/J15,"")</x:f>
        <x:v>0.2924187725631769</x:v>
      </x:c>
      <x:c r="L15" s="17" t="n">
        <x:f>C15/D15</x:f>
        <x:v>0.81</x:v>
      </x:c>
      <x:c r="M15" s="18" t="n">
        <x:f>IF(I15=1,J15*('校正統計'!$B$7*D15+'校正統計'!$B$8),"")</x:f>
        <x:v>164.5273296299856</x:v>
      </x:c>
      <x:c r="N15" s="18" t="n">
        <x:f>IF(I15=1,M15-C15,"")</x:f>
        <x:v>2.527329629985587</x:v>
      </x:c>
      <x:c r="O15" s="18" t="n">
        <x:f>IF(I15=1,J15*D15/'校正統計'!$B$9,"")</x:f>
        <x:v>163.6938261159913</x:v>
      </x:c>
      <x:c r="P15" s="18" t="n">
        <x:f>IF(I15=1,O15-C15,"")</x:f>
        <x:v>1.6938261159912997</x:v>
      </x:c>
      <x:c r="Q15" s="18" t="n">
        <x:f>IF(I15=1,J15*(0.0013599938652549585*D15+0.014432794417975773)-C15,"")</x:f>
        <x:v>-3.316911622192009</x:v>
      </x:c>
      <x:c r="R15" s="18" t="n">
        <x:f>IF(I15=1,J15*D15/697.7877515437722-C15,"")</x:f>
        <x:v>-3.2124607305470647</x:v>
      </x:c>
      <x:c r="S15" s="18" t="n">
        <x:f>IF(I15=1,J15*L15,0)</x:f>
        <x:v>448.74</x:v>
      </x:c>
      <x:c r="T15" s="18" t="n">
        <x:f>IF(I15=1,L15^2,0)</x:f>
        <x:v>0.6561000000000001</x:v>
      </x:c>
      <x:c r="U15" s="16" t="n">
        <x:f>IF(I15=1,J15,"")</x:f>
        <x:v>554</x:v>
      </x:c>
      <x:c r="V15" s="3" t="str">
        <x:v>完整頭腳；納入</x:v>
      </x:c>
    </x:row>
    <x:row r="16" ht="26" customHeight="1">
      <x:c r="A16" s="3" t="str">
        <x:v>162_lai/200 (5).jpg</x:v>
      </x:c>
      <x:c r="B16" s="3" t="str">
        <x:v>162_lai</x:v>
      </x:c>
      <x:c r="C16" s="16" t="n">
        <x:v>162</x:v>
      </x:c>
      <x:c r="D16" s="16" t="n">
        <x:v>200</x:v>
      </x:c>
      <x:c r="E16" s="16" t="n">
        <x:v>500</x:v>
      </x:c>
      <x:c r="F16" s="16" t="n">
        <x:v>108</x:v>
      </x:c>
      <x:c r="G16" s="16" t="n">
        <x:v>695</x:v>
      </x:c>
      <x:c r="H16" s="16" t="n">
        <x:v>661</x:v>
      </x:c>
      <x:c r="I16" s="16" t="n">
        <x:v>1</x:v>
      </x:c>
      <x:c r="J16" s="16" t="n">
        <x:f>H16-F16+1</x:f>
        <x:v>554</x:v>
      </x:c>
      <x:c r="K16" s="17" t="n">
        <x:f>IF(I16=1,C16/J16,"")</x:f>
        <x:v>0.2924187725631769</x:v>
      </x:c>
      <x:c r="L16" s="17" t="n">
        <x:f>C16/D16</x:f>
        <x:v>0.81</x:v>
      </x:c>
      <x:c r="M16" s="18" t="n">
        <x:f>IF(I16=1,J16*('校正統計'!$B$7*D16+'校正統計'!$B$8),"")</x:f>
        <x:v>164.5273296299856</x:v>
      </x:c>
      <x:c r="N16" s="18" t="n">
        <x:f>IF(I16=1,M16-C16,"")</x:f>
        <x:v>2.527329629985587</x:v>
      </x:c>
      <x:c r="O16" s="18" t="n">
        <x:f>IF(I16=1,J16*D16/'校正統計'!$B$9,"")</x:f>
        <x:v>163.6938261159913</x:v>
      </x:c>
      <x:c r="P16" s="18" t="n">
        <x:f>IF(I16=1,O16-C16,"")</x:f>
        <x:v>1.6938261159912997</x:v>
      </x:c>
      <x:c r="Q16" s="18" t="n">
        <x:f>IF(I16=1,J16*(0.0013599938652549585*D16+0.014432794417975773)-C16,"")</x:f>
        <x:v>-3.316911622192009</x:v>
      </x:c>
      <x:c r="R16" s="18" t="n">
        <x:f>IF(I16=1,J16*D16/697.7877515437722-C16,"")</x:f>
        <x:v>-3.2124607305470647</x:v>
      </x:c>
      <x:c r="S16" s="18" t="n">
        <x:f>IF(I16=1,J16*L16,0)</x:f>
        <x:v>448.74</x:v>
      </x:c>
      <x:c r="T16" s="18" t="n">
        <x:f>IF(I16=1,L16^2,0)</x:f>
        <x:v>0.6561000000000001</x:v>
      </x:c>
      <x:c r="U16" s="16" t="n">
        <x:f>IF(I16=1,J16,"")</x:f>
        <x:v>554</x:v>
      </x:c>
      <x:c r="V16" s="3" t="str">
        <x:v>完整頭腳；納入</x:v>
      </x:c>
    </x:row>
    <x:row r="17" ht="26" customHeight="1">
      <x:c r="A17" s="3" t="str">
        <x:v>162_lai/200 (6).jpg</x:v>
      </x:c>
      <x:c r="B17" s="3" t="str">
        <x:v>162_lai</x:v>
      </x:c>
      <x:c r="C17" s="16" t="n">
        <x:v>162</x:v>
      </x:c>
      <x:c r="D17" s="16" t="n">
        <x:v>200</x:v>
      </x:c>
      <x:c r="E17" s="16" t="n">
        <x:v>501</x:v>
      </x:c>
      <x:c r="F17" s="16" t="n">
        <x:v>107</x:v>
      </x:c>
      <x:c r="G17" s="16" t="n">
        <x:v>694</x:v>
      </x:c>
      <x:c r="H17" s="16" t="n">
        <x:v>661</x:v>
      </x:c>
      <x:c r="I17" s="16" t="n">
        <x:v>1</x:v>
      </x:c>
      <x:c r="J17" s="16" t="n">
        <x:f>H17-F17+1</x:f>
        <x:v>555</x:v>
      </x:c>
      <x:c r="K17" s="17" t="n">
        <x:f>IF(I17=1,C17/J17,"")</x:f>
        <x:v>0.2918918918918919</x:v>
      </x:c>
      <x:c r="L17" s="17" t="n">
        <x:f>C17/D17</x:f>
        <x:v>0.81</x:v>
      </x:c>
      <x:c r="M17" s="18" t="n">
        <x:f>IF(I17=1,J17*('校正統計'!$B$7*D17+'校正統計'!$B$8),"")</x:f>
        <x:v>164.8243103693899</x:v>
      </x:c>
      <x:c r="N17" s="18" t="n">
        <x:f>IF(I17=1,M17-C17,"")</x:f>
        <x:v>2.824310369389906</x:v>
      </x:c>
      <x:c r="O17" s="18" t="n">
        <x:f>IF(I17=1,J17*D17/'校正統計'!$B$9,"")</x:f>
        <x:v>163.98930233641727</x:v>
      </x:c>
      <x:c r="P17" s="18" t="n">
        <x:f>IF(I17=1,O17-C17,"")</x:f>
        <x:v>1.9893023364172677</x:v>
      </x:c>
      <x:c r="Q17" s="18" t="n">
        <x:f>IF(I17=1,J17*(0.0013599938652549585*D17+0.014432794417975773)-C17,"")</x:f>
        <x:v>-3.030480054723057</x:v>
      </x:c>
      <x:c r="R17" s="18" t="n">
        <x:f>IF(I17=1,J17*D17/697.7877515437722-C17,"")</x:f>
        <x:v>-2.925840623562493</x:v>
      </x:c>
      <x:c r="S17" s="18" t="n">
        <x:f>IF(I17=1,J17*L17,0)</x:f>
        <x:v>449.55</x:v>
      </x:c>
      <x:c r="T17" s="18" t="n">
        <x:f>IF(I17=1,L17^2,0)</x:f>
        <x:v>0.6561000000000001</x:v>
      </x:c>
      <x:c r="U17" s="16" t="n">
        <x:f>IF(I17=1,J17,"")</x:f>
        <x:v>555</x:v>
      </x:c>
      <x:c r="V17" s="3" t="str">
        <x:v>完整頭腳；納入</x:v>
      </x:c>
    </x:row>
    <x:row r="18" ht="26" customHeight="1">
      <x:c r="A18" s="3" t="str">
        <x:v>162_lai/200 (7).jpg</x:v>
      </x:c>
      <x:c r="B18" s="3" t="str">
        <x:v>162_lai</x:v>
      </x:c>
      <x:c r="C18" s="16" t="n">
        <x:v>162</x:v>
      </x:c>
      <x:c r="D18" s="16" t="n">
        <x:v>200</x:v>
      </x:c>
      <x:c r="E18" s="16" t="n">
        <x:v>500</x:v>
      </x:c>
      <x:c r="F18" s="16" t="n">
        <x:v>111</x:v>
      </x:c>
      <x:c r="G18" s="16" t="n">
        <x:v>695</x:v>
      </x:c>
      <x:c r="H18" s="16" t="n">
        <x:v>663</x:v>
      </x:c>
      <x:c r="I18" s="16" t="n">
        <x:v>1</x:v>
      </x:c>
      <x:c r="J18" s="16" t="n">
        <x:f>H18-F18+1</x:f>
        <x:v>553</x:v>
      </x:c>
      <x:c r="K18" s="17" t="n">
        <x:f>IF(I18=1,C18/J18,"")</x:f>
        <x:v>0.29294755877034356</x:v>
      </x:c>
      <x:c r="L18" s="17" t="n">
        <x:f>C18/D18</x:f>
        <x:v>0.81</x:v>
      </x:c>
      <x:c r="M18" s="18" t="n">
        <x:f>IF(I18=1,J18*('校正統計'!$B$7*D18+'校正統計'!$B$8),"")</x:f>
        <x:v>164.2303488905813</x:v>
      </x:c>
      <x:c r="N18" s="18" t="n">
        <x:f>IF(I18=1,M18-C18,"")</x:f>
        <x:v>2.230348890581297</x:v>
      </x:c>
      <x:c r="O18" s="18" t="n">
        <x:f>IF(I18=1,J18*D18/'校正統計'!$B$9,"")</x:f>
        <x:v>163.39834989556533</x:v>
      </x:c>
      <x:c r="P18" s="18" t="n">
        <x:f>IF(I18=1,O18-C18,"")</x:f>
        <x:v>1.3983498955653317</x:v>
      </x:c>
      <x:c r="Q18" s="18" t="n">
        <x:f>IF(I18=1,J18*(0.0013599938652549585*D18+0.014432794417975773)-C18,"")</x:f>
        <x:v>-3.6033431896609898</x:v>
      </x:c>
      <x:c r="R18" s="18" t="n">
        <x:f>IF(I18=1,J18*D18/697.7877515437722-C18,"")</x:f>
        <x:v>-3.4990808375316362</x:v>
      </x:c>
      <x:c r="S18" s="18" t="n">
        <x:f>IF(I18=1,J18*L18,0)</x:f>
        <x:v>447.93</x:v>
      </x:c>
      <x:c r="T18" s="18" t="n">
        <x:f>IF(I18=1,L18^2,0)</x:f>
        <x:v>0.6561000000000001</x:v>
      </x:c>
      <x:c r="U18" s="16" t="n">
        <x:f>IF(I18=1,J18,"")</x:f>
        <x:v>553</x:v>
      </x:c>
      <x:c r="V18" s="3" t="str">
        <x:v>完整頭腳；納入</x:v>
      </x:c>
    </x:row>
    <x:row r="19" ht="26" customHeight="1">
      <x:c r="A19" s="3" t="str">
        <x:v>162_lai/220 (1).jpg</x:v>
      </x:c>
      <x:c r="B19" s="3" t="str">
        <x:v>162_lai</x:v>
      </x:c>
      <x:c r="C19" s="16" t="n">
        <x:v>162</x:v>
      </x:c>
      <x:c r="D19" s="16" t="n">
        <x:v>220</x:v>
      </x:c>
      <x:c r="E19" s="16" t="n">
        <x:v>515</x:v>
      </x:c>
      <x:c r="F19" s="16" t="n">
        <x:v>140</x:v>
      </x:c>
      <x:c r="G19" s="16" t="n">
        <x:v>689</x:v>
      </x:c>
      <x:c r="H19" s="16" t="n">
        <x:v>639</x:v>
      </x:c>
      <x:c r="I19" s="16" t="n">
        <x:v>1</x:v>
      </x:c>
      <x:c r="J19" s="16" t="n">
        <x:f>H19-F19+1</x:f>
        <x:v>500</x:v>
      </x:c>
      <x:c r="K19" s="17" t="n">
        <x:f>IF(I19=1,C19/J19,"")</x:f>
        <x:v>0.324</x:v>
      </x:c>
      <x:c r="L19" s="17" t="n">
        <x:f>C19/D19</x:f>
        <x:v>0.7363636363636363</x:v>
      </x:c>
      <x:c r="M19" s="18" t="n">
        <x:f>IF(I19=1,J19*('校正統計'!$B$7*D19+'校正統計'!$B$8),"")</x:f>
        <x:v>162.2362382458515</x:v>
      </x:c>
      <x:c r="N19" s="18" t="n">
        <x:f>IF(I19=1,M19-C19,"")</x:f>
        <x:v>0.23623824585149578</x:v>
      </x:c>
      <x:c r="O19" s="18" t="n">
        <x:f>IF(I19=1,J19*D19/'校正統計'!$B$9,"")</x:f>
        <x:v>162.5119212342874</x:v>
      </x:c>
      <x:c r="P19" s="18" t="n">
        <x:f>IF(I19=1,O19-C19,"")</x:f>
        <x:v>0.5119212342873993</x:v>
      </x:c>
      <x:c r="Q19" s="18" t="n">
        <x:f>IF(I19=1,J19*(0.0013599938652549585*D19+0.014432794417975773)-C19,"")</x:f>
        <x:v>-5.1842776129666674</x:v>
      </x:c>
      <x:c r="R19" s="18" t="n">
        <x:f>IF(I19=1,J19*D19/697.7877515437722-C19,"")</x:f>
        <x:v>-4.358941158485351</x:v>
      </x:c>
      <x:c r="S19" s="18" t="n">
        <x:f>IF(I19=1,J19*L19,0)</x:f>
        <x:v>368.1818181818182</x:v>
      </x:c>
      <x:c r="T19" s="18" t="n">
        <x:f>IF(I19=1,L19^2,0)</x:f>
        <x:v>0.5422314049586776</x:v>
      </x:c>
      <x:c r="U19" s="16" t="n">
        <x:f>IF(I19=1,J19,"")</x:f>
        <x:v>500</x:v>
      </x:c>
      <x:c r="V19" s="3" t="str">
        <x:v>完整頭腳；納入</x:v>
      </x:c>
    </x:row>
    <x:row r="20" ht="26" customHeight="1">
      <x:c r="A20" s="3" t="str">
        <x:v>162_lai/220 (2).jpg</x:v>
      </x:c>
      <x:c r="B20" s="3" t="str">
        <x:v>162_lai</x:v>
      </x:c>
      <x:c r="C20" s="16" t="n">
        <x:v>162</x:v>
      </x:c>
      <x:c r="D20" s="16" t="n">
        <x:v>220</x:v>
      </x:c>
      <x:c r="E20" s="16" t="n">
        <x:v>517</x:v>
      </x:c>
      <x:c r="F20" s="16" t="n">
        <x:v>141</x:v>
      </x:c>
      <x:c r="G20" s="16" t="n">
        <x:v>690</x:v>
      </x:c>
      <x:c r="H20" s="16" t="n">
        <x:v>640</x:v>
      </x:c>
      <x:c r="I20" s="16" t="n">
        <x:v>1</x:v>
      </x:c>
      <x:c r="J20" s="16" t="n">
        <x:f>H20-F20+1</x:f>
        <x:v>500</x:v>
      </x:c>
      <x:c r="K20" s="17" t="n">
        <x:f>IF(I20=1,C20/J20,"")</x:f>
        <x:v>0.324</x:v>
      </x:c>
      <x:c r="L20" s="17" t="n">
        <x:f>C20/D20</x:f>
        <x:v>0.7363636363636363</x:v>
      </x:c>
      <x:c r="M20" s="18" t="n">
        <x:f>IF(I20=1,J20*('校正統計'!$B$7*D20+'校正統計'!$B$8),"")</x:f>
        <x:v>162.2362382458515</x:v>
      </x:c>
      <x:c r="N20" s="18" t="n">
        <x:f>IF(I20=1,M20-C20,"")</x:f>
        <x:v>0.23623824585149578</x:v>
      </x:c>
      <x:c r="O20" s="18" t="n">
        <x:f>IF(I20=1,J20*D20/'校正統計'!$B$9,"")</x:f>
        <x:v>162.5119212342874</x:v>
      </x:c>
      <x:c r="P20" s="18" t="n">
        <x:f>IF(I20=1,O20-C20,"")</x:f>
        <x:v>0.5119212342873993</x:v>
      </x:c>
      <x:c r="Q20" s="18" t="n">
        <x:f>IF(I20=1,J20*(0.0013599938652549585*D20+0.014432794417975773)-C20,"")</x:f>
        <x:v>-5.1842776129666674</x:v>
      </x:c>
      <x:c r="R20" s="18" t="n">
        <x:f>IF(I20=1,J20*D20/697.7877515437722-C20,"")</x:f>
        <x:v>-4.358941158485351</x:v>
      </x:c>
      <x:c r="S20" s="18" t="n">
        <x:f>IF(I20=1,J20*L20,0)</x:f>
        <x:v>368.1818181818182</x:v>
      </x:c>
      <x:c r="T20" s="18" t="n">
        <x:f>IF(I20=1,L20^2,0)</x:f>
        <x:v>0.5422314049586776</x:v>
      </x:c>
      <x:c r="U20" s="16" t="n">
        <x:f>IF(I20=1,J20,"")</x:f>
        <x:v>500</x:v>
      </x:c>
      <x:c r="V20" s="3" t="str">
        <x:v>完整頭腳；納入</x:v>
      </x:c>
    </x:row>
    <x:row r="21" ht="26" customHeight="1">
      <x:c r="A21" s="3" t="str">
        <x:v>162_lai/220 (3).jpg</x:v>
      </x:c>
      <x:c r="B21" s="3" t="str">
        <x:v>162_lai</x:v>
      </x:c>
      <x:c r="C21" s="16" t="n">
        <x:v>162</x:v>
      </x:c>
      <x:c r="D21" s="16" t="n">
        <x:v>220</x:v>
      </x:c>
      <x:c r="E21" s="16" t="n">
        <x:v>518</x:v>
      </x:c>
      <x:c r="F21" s="16" t="n">
        <x:v>142</x:v>
      </x:c>
      <x:c r="G21" s="16" t="n">
        <x:v>691</x:v>
      </x:c>
      <x:c r="H21" s="16" t="n">
        <x:v>641</x:v>
      </x:c>
      <x:c r="I21" s="16" t="n">
        <x:v>1</x:v>
      </x:c>
      <x:c r="J21" s="16" t="n">
        <x:f>H21-F21+1</x:f>
        <x:v>500</x:v>
      </x:c>
      <x:c r="K21" s="17" t="n">
        <x:f>IF(I21=1,C21/J21,"")</x:f>
        <x:v>0.324</x:v>
      </x:c>
      <x:c r="L21" s="17" t="n">
        <x:f>C21/D21</x:f>
        <x:v>0.7363636363636363</x:v>
      </x:c>
      <x:c r="M21" s="18" t="n">
        <x:f>IF(I21=1,J21*('校正統計'!$B$7*D21+'校正統計'!$B$8),"")</x:f>
        <x:v>162.2362382458515</x:v>
      </x:c>
      <x:c r="N21" s="18" t="n">
        <x:f>IF(I21=1,M21-C21,"")</x:f>
        <x:v>0.23623824585149578</x:v>
      </x:c>
      <x:c r="O21" s="18" t="n">
        <x:f>IF(I21=1,J21*D21/'校正統計'!$B$9,"")</x:f>
        <x:v>162.5119212342874</x:v>
      </x:c>
      <x:c r="P21" s="18" t="n">
        <x:f>IF(I21=1,O21-C21,"")</x:f>
        <x:v>0.5119212342873993</x:v>
      </x:c>
      <x:c r="Q21" s="18" t="n">
        <x:f>IF(I21=1,J21*(0.0013599938652549585*D21+0.014432794417975773)-C21,"")</x:f>
        <x:v>-5.1842776129666674</x:v>
      </x:c>
      <x:c r="R21" s="18" t="n">
        <x:f>IF(I21=1,J21*D21/697.7877515437722-C21,"")</x:f>
        <x:v>-4.358941158485351</x:v>
      </x:c>
      <x:c r="S21" s="18" t="n">
        <x:f>IF(I21=1,J21*L21,0)</x:f>
        <x:v>368.1818181818182</x:v>
      </x:c>
      <x:c r="T21" s="18" t="n">
        <x:f>IF(I21=1,L21^2,0)</x:f>
        <x:v>0.5422314049586776</x:v>
      </x:c>
      <x:c r="U21" s="16" t="n">
        <x:f>IF(I21=1,J21,"")</x:f>
        <x:v>500</x:v>
      </x:c>
      <x:c r="V21" s="3" t="str">
        <x:v>完整頭腳；納入</x:v>
      </x:c>
    </x:row>
    <x:row r="22" ht="26" customHeight="1">
      <x:c r="A22" s="3" t="str">
        <x:v>162_lai/220 (4).jpg</x:v>
      </x:c>
      <x:c r="B22" s="3" t="str">
        <x:v>162_lai</x:v>
      </x:c>
      <x:c r="C22" s="16" t="n">
        <x:v>162</x:v>
      </x:c>
      <x:c r="D22" s="16" t="n">
        <x:v>220</x:v>
      </x:c>
      <x:c r="E22" s="16" t="n">
        <x:v>518</x:v>
      </x:c>
      <x:c r="F22" s="16" t="n">
        <x:v>142</x:v>
      </x:c>
      <x:c r="G22" s="16" t="n">
        <x:v>691</x:v>
      </x:c>
      <x:c r="H22" s="16" t="n">
        <x:v>640</x:v>
      </x:c>
      <x:c r="I22" s="16" t="n">
        <x:v>1</x:v>
      </x:c>
      <x:c r="J22" s="16" t="n">
        <x:f>H22-F22+1</x:f>
        <x:v>499</x:v>
      </x:c>
      <x:c r="K22" s="17" t="n">
        <x:f>IF(I22=1,C22/J22,"")</x:f>
        <x:v>0.3246492985971944</x:v>
      </x:c>
      <x:c r="L22" s="17" t="n">
        <x:f>C22/D22</x:f>
        <x:v>0.7363636363636363</x:v>
      </x:c>
      <x:c r="M22" s="18" t="n">
        <x:f>IF(I22=1,J22*('校正統計'!$B$7*D22+'校正統計'!$B$8),"")</x:f>
        <x:v>161.9117657693598</x:v>
      </x:c>
      <x:c r="N22" s="18" t="n">
        <x:f>IF(I22=1,M22-C22,"")</x:f>
        <x:v>-0.08823423064021085</x:v>
      </x:c>
      <x:c r="O22" s="18" t="n">
        <x:f>IF(I22=1,J22*D22/'校正統計'!$B$9,"")</x:f>
        <x:v>162.18689739181883</x:v>
      </x:c>
      <x:c r="P22" s="18" t="n">
        <x:f>IF(I22=1,O22-C22,"")</x:f>
        <x:v>0.1868973918188317</x:v>
      </x:c>
      <x:c r="Q22" s="18" t="n">
        <x:f>IF(I22=1,J22*(0.0013599938652549585*D22+0.014432794417975773)-C22,"")</x:f>
        <x:v>-5.4979090577407135</x:v>
      </x:c>
      <x:c r="R22" s="18" t="n">
        <x:f>IF(I22=1,J22*D22/697.7877515437722-C22,"")</x:f>
        <x:v>-4.674223276168362</x:v>
      </x:c>
      <x:c r="S22" s="18" t="n">
        <x:f>IF(I22=1,J22*L22,0)</x:f>
        <x:v>367.44545454545454</x:v>
      </x:c>
      <x:c r="T22" s="18" t="n">
        <x:f>IF(I22=1,L22^2,0)</x:f>
        <x:v>0.5422314049586776</x:v>
      </x:c>
      <x:c r="U22" s="16" t="n">
        <x:f>IF(I22=1,J22,"")</x:f>
        <x:v>499</x:v>
      </x:c>
      <x:c r="V22" s="3" t="str">
        <x:v>完整頭腳；納入</x:v>
      </x:c>
    </x:row>
    <x:row r="23" ht="26" customHeight="1">
      <x:c r="A23" s="3" t="str">
        <x:v>162_lai/220 (5).jpg</x:v>
      </x:c>
      <x:c r="B23" s="3" t="str">
        <x:v>162_lai</x:v>
      </x:c>
      <x:c r="C23" s="16" t="n">
        <x:v>162</x:v>
      </x:c>
      <x:c r="D23" s="16" t="n">
        <x:v>220</x:v>
      </x:c>
      <x:c r="E23" s="16" t="n">
        <x:v>519</x:v>
      </x:c>
      <x:c r="F23" s="16" t="n">
        <x:v>142</x:v>
      </x:c>
      <x:c r="G23" s="16" t="n">
        <x:v>691</x:v>
      </x:c>
      <x:c r="H23" s="16" t="n">
        <x:v>640</x:v>
      </x:c>
      <x:c r="I23" s="16" t="n">
        <x:v>1</x:v>
      </x:c>
      <x:c r="J23" s="16" t="n">
        <x:f>H23-F23+1</x:f>
        <x:v>499</x:v>
      </x:c>
      <x:c r="K23" s="17" t="n">
        <x:f>IF(I23=1,C23/J23,"")</x:f>
        <x:v>0.3246492985971944</x:v>
      </x:c>
      <x:c r="L23" s="17" t="n">
        <x:f>C23/D23</x:f>
        <x:v>0.7363636363636363</x:v>
      </x:c>
      <x:c r="M23" s="18" t="n">
        <x:f>IF(I23=1,J23*('校正統計'!$B$7*D23+'校正統計'!$B$8),"")</x:f>
        <x:v>161.9117657693598</x:v>
      </x:c>
      <x:c r="N23" s="18" t="n">
        <x:f>IF(I23=1,M23-C23,"")</x:f>
        <x:v>-0.08823423064021085</x:v>
      </x:c>
      <x:c r="O23" s="18" t="n">
        <x:f>IF(I23=1,J23*D23/'校正統計'!$B$9,"")</x:f>
        <x:v>162.18689739181883</x:v>
      </x:c>
      <x:c r="P23" s="18" t="n">
        <x:f>IF(I23=1,O23-C23,"")</x:f>
        <x:v>0.1868973918188317</x:v>
      </x:c>
      <x:c r="Q23" s="18" t="n">
        <x:f>IF(I23=1,J23*(0.0013599938652549585*D23+0.014432794417975773)-C23,"")</x:f>
        <x:v>-5.4979090577407135</x:v>
      </x:c>
      <x:c r="R23" s="18" t="n">
        <x:f>IF(I23=1,J23*D23/697.7877515437722-C23,"")</x:f>
        <x:v>-4.674223276168362</x:v>
      </x:c>
      <x:c r="S23" s="18" t="n">
        <x:f>IF(I23=1,J23*L23,0)</x:f>
        <x:v>367.44545454545454</x:v>
      </x:c>
      <x:c r="T23" s="18" t="n">
        <x:f>IF(I23=1,L23^2,0)</x:f>
        <x:v>0.5422314049586776</x:v>
      </x:c>
      <x:c r="U23" s="16" t="n">
        <x:f>IF(I23=1,J23,"")</x:f>
        <x:v>499</x:v>
      </x:c>
      <x:c r="V23" s="3" t="str">
        <x:v>完整頭腳；納入</x:v>
      </x:c>
    </x:row>
    <x:row r="24" ht="26" customHeight="1">
      <x:c r="A24" s="3" t="str">
        <x:v>162_lai/220 (6).jpg</x:v>
      </x:c>
      <x:c r="B24" s="3" t="str">
        <x:v>162_lai</x:v>
      </x:c>
      <x:c r="C24" s="16" t="n">
        <x:v>162</x:v>
      </x:c>
      <x:c r="D24" s="16" t="n">
        <x:v>220</x:v>
      </x:c>
      <x:c r="E24" s="16" t="n">
        <x:v>519</x:v>
      </x:c>
      <x:c r="F24" s="16" t="n">
        <x:v>142</x:v>
      </x:c>
      <x:c r="G24" s="16" t="n">
        <x:v>691</x:v>
      </x:c>
      <x:c r="H24" s="16" t="n">
        <x:v>640</x:v>
      </x:c>
      <x:c r="I24" s="16" t="n">
        <x:v>1</x:v>
      </x:c>
      <x:c r="J24" s="16" t="n">
        <x:f>H24-F24+1</x:f>
        <x:v>499</x:v>
      </x:c>
      <x:c r="K24" s="17" t="n">
        <x:f>IF(I24=1,C24/J24,"")</x:f>
        <x:v>0.3246492985971944</x:v>
      </x:c>
      <x:c r="L24" s="17" t="n">
        <x:f>C24/D24</x:f>
        <x:v>0.7363636363636363</x:v>
      </x:c>
      <x:c r="M24" s="18" t="n">
        <x:f>IF(I24=1,J24*('校正統計'!$B$7*D24+'校正統計'!$B$8),"")</x:f>
        <x:v>161.9117657693598</x:v>
      </x:c>
      <x:c r="N24" s="18" t="n">
        <x:f>IF(I24=1,M24-C24,"")</x:f>
        <x:v>-0.08823423064021085</x:v>
      </x:c>
      <x:c r="O24" s="18" t="n">
        <x:f>IF(I24=1,J24*D24/'校正統計'!$B$9,"")</x:f>
        <x:v>162.18689739181883</x:v>
      </x:c>
      <x:c r="P24" s="18" t="n">
        <x:f>IF(I24=1,O24-C24,"")</x:f>
        <x:v>0.1868973918188317</x:v>
      </x:c>
      <x:c r="Q24" s="18" t="n">
        <x:f>IF(I24=1,J24*(0.0013599938652549585*D24+0.014432794417975773)-C24,"")</x:f>
        <x:v>-5.4979090577407135</x:v>
      </x:c>
      <x:c r="R24" s="18" t="n">
        <x:f>IF(I24=1,J24*D24/697.7877515437722-C24,"")</x:f>
        <x:v>-4.674223276168362</x:v>
      </x:c>
      <x:c r="S24" s="18" t="n">
        <x:f>IF(I24=1,J24*L24,0)</x:f>
        <x:v>367.44545454545454</x:v>
      </x:c>
      <x:c r="T24" s="18" t="n">
        <x:f>IF(I24=1,L24^2,0)</x:f>
        <x:v>0.5422314049586776</x:v>
      </x:c>
      <x:c r="U24" s="16" t="n">
        <x:f>IF(I24=1,J24,"")</x:f>
        <x:v>499</x:v>
      </x:c>
      <x:c r="V24" s="3" t="str">
        <x:v>完整頭腳；納入</x:v>
      </x:c>
    </x:row>
    <x:row r="25" ht="26" customHeight="1">
      <x:c r="A25" s="3" t="str">
        <x:v>162_lai/240 (1).jpg</x:v>
      </x:c>
      <x:c r="B25" s="3" t="str">
        <x:v>162_lai</x:v>
      </x:c>
      <x:c r="C25" s="16" t="n">
        <x:v>162</x:v>
      </x:c>
      <x:c r="D25" s="16" t="n">
        <x:v>240</x:v>
      </x:c>
      <x:c r="E25" s="16" t="n">
        <x:v>524</x:v>
      </x:c>
      <x:c r="F25" s="16" t="n">
        <x:v>164</x:v>
      </x:c>
      <x:c r="G25" s="16" t="n">
        <x:v>687</x:v>
      </x:c>
      <x:c r="H25" s="16" t="n">
        <x:v>628</x:v>
      </x:c>
      <x:c r="I25" s="16" t="n">
        <x:v>1</x:v>
      </x:c>
      <x:c r="J25" s="16" t="n">
        <x:f>H25-F25+1</x:f>
        <x:v>465</x:v>
      </x:c>
      <x:c r="K25" s="17" t="n">
        <x:f>IF(I25=1,C25/J25,"")</x:f>
        <x:v>0.34838709677419355</x:v>
      </x:c>
      <x:c r="L25" s="17" t="n">
        <x:f>C25/D25</x:f>
        <x:v>0.675</x:v>
      </x:c>
      <x:c r="M25" s="18" t="n">
        <x:f>IF(I25=1,J25*('校正統計'!$B$7*D25+'校正統計'!$B$8),"")</x:f>
        <x:v>163.66335931428145</x:v>
      </x:c>
      <x:c r="N25" s="18" t="n">
        <x:f>IF(I25=1,M25-C25,"")</x:f>
        <x:v>1.6633593142814505</x:v>
      </x:c>
      <x:c r="O25" s="18" t="n">
        <x:f>IF(I25=1,J25*D25/'校正統計'!$B$9,"")</x:f>
        <x:v>164.8757309976952</x:v>
      </x:c>
      <x:c r="P25" s="18" t="n">
        <x:f>IF(I25=1,O25-C25,"")</x:f>
        <x:v>2.8757309976952</x:v>
      </x:c>
      <x:c r="Q25" s="18" t="n">
        <x:f>IF(I25=1,J25*(0.0013599938652549585*D25+0.014432794417975773)-C25,"")</x:f>
        <x:v>-3.5134352331878915</x:v>
      </x:c>
      <x:c r="R25" s="18" t="n">
        <x:f>IF(I25=1,J25*D25/697.7877515437722-C25,"")</x:f>
        <x:v>-2.0659803026087786</x:v>
      </x:c>
      <x:c r="S25" s="18" t="n">
        <x:f>IF(I25=1,J25*L25,0)</x:f>
        <x:v>313.875</x:v>
      </x:c>
      <x:c r="T25" s="18" t="n">
        <x:f>IF(I25=1,L25^2,0)</x:f>
        <x:v>0.45562500000000006</x:v>
      </x:c>
      <x:c r="U25" s="16" t="n">
        <x:f>IF(I25=1,J25,"")</x:f>
        <x:v>465</x:v>
      </x:c>
      <x:c r="V25" s="3" t="str">
        <x:v>完整頭腳；納入</x:v>
      </x:c>
    </x:row>
    <x:row r="26" ht="26" customHeight="1">
      <x:c r="A26" s="3" t="str">
        <x:v>162_lai/240 (2).jpg</x:v>
      </x:c>
      <x:c r="B26" s="3" t="str">
        <x:v>162_lai</x:v>
      </x:c>
      <x:c r="C26" s="16" t="n">
        <x:v>162</x:v>
      </x:c>
      <x:c r="D26" s="16" t="n">
        <x:v>240</x:v>
      </x:c>
      <x:c r="E26" s="16" t="n">
        <x:v>525</x:v>
      </x:c>
      <x:c r="F26" s="16" t="n">
        <x:v>163</x:v>
      </x:c>
      <x:c r="G26" s="16" t="n">
        <x:v>687</x:v>
      </x:c>
      <x:c r="H26" s="16" t="n">
        <x:v>626</x:v>
      </x:c>
      <x:c r="I26" s="16" t="n">
        <x:v>1</x:v>
      </x:c>
      <x:c r="J26" s="16" t="n">
        <x:f>H26-F26+1</x:f>
        <x:v>464</x:v>
      </x:c>
      <x:c r="K26" s="17" t="n">
        <x:f>IF(I26=1,C26/J26,"")</x:f>
        <x:v>0.34913793103448276</x:v>
      </x:c>
      <x:c r="L26" s="17" t="n">
        <x:f>C26/D26</x:f>
        <x:v>0.675</x:v>
      </x:c>
      <x:c r="M26" s="18" t="n">
        <x:f>IF(I26=1,J26*('校正統計'!$B$7*D26+'校正統計'!$B$8),"")</x:f>
        <x:v>163.31139510070236</x:v>
      </x:c>
      <x:c r="N26" s="18" t="n">
        <x:f>IF(I26=1,M26-C26,"")</x:f>
        <x:v>1.3113951007023559</x:v>
      </x:c>
      <x:c r="O26" s="18" t="n">
        <x:f>IF(I26=1,J26*D26/'校正統計'!$B$9,"")</x:f>
        <x:v>164.52115953318403</x:v>
      </x:c>
      <x:c r="P26" s="18" t="n">
        <x:f>IF(I26=1,O26-C26,"")</x:f>
        <x:v>2.521159533184033</x:v>
      </x:c>
      <x:c r="Q26" s="18" t="n">
        <x:f>IF(I26=1,J26*(0.0013599938652549585*D26+0.014432794417975773)-C26,"")</x:f>
        <x:v>-3.85426655526706</x:v>
      </x:c>
      <x:c r="R26" s="18" t="n">
        <x:f>IF(I26=1,J26*D26/697.7877515437722-C26,"")</x:f>
        <x:v>-2.4099244309902588</x:v>
      </x:c>
      <x:c r="S26" s="18" t="n">
        <x:f>IF(I26=1,J26*L26,0)</x:f>
        <x:v>313.20000000000005</x:v>
      </x:c>
      <x:c r="T26" s="18" t="n">
        <x:f>IF(I26=1,L26^2,0)</x:f>
        <x:v>0.45562500000000006</x:v>
      </x:c>
      <x:c r="U26" s="16" t="n">
        <x:f>IF(I26=1,J26,"")</x:f>
        <x:v>464</x:v>
      </x:c>
      <x:c r="V26" s="3" t="str">
        <x:v>完整頭腳；納入</x:v>
      </x:c>
    </x:row>
    <x:row r="27" ht="26" customHeight="1">
      <x:c r="A27" s="3" t="str">
        <x:v>162_lai/240 (3).jpg</x:v>
      </x:c>
      <x:c r="B27" s="3" t="str">
        <x:v>162_lai</x:v>
      </x:c>
      <x:c r="C27" s="16" t="n">
        <x:v>162</x:v>
      </x:c>
      <x:c r="D27" s="16" t="n">
        <x:v>240</x:v>
      </x:c>
      <x:c r="E27" s="16" t="n">
        <x:v>527</x:v>
      </x:c>
      <x:c r="F27" s="16" t="n">
        <x:v>162</x:v>
      </x:c>
      <x:c r="G27" s="16" t="n">
        <x:v>689</x:v>
      </x:c>
      <x:c r="H27" s="16" t="n">
        <x:v>624</x:v>
      </x:c>
      <x:c r="I27" s="16" t="n">
        <x:v>1</x:v>
      </x:c>
      <x:c r="J27" s="16" t="n">
        <x:f>H27-F27+1</x:f>
        <x:v>463</x:v>
      </x:c>
      <x:c r="K27" s="17" t="n">
        <x:f>IF(I27=1,C27/J27,"")</x:f>
        <x:v>0.34989200863930886</x:v>
      </x:c>
      <x:c r="L27" s="17" t="n">
        <x:f>C27/D27</x:f>
        <x:v>0.675</x:v>
      </x:c>
      <x:c r="M27" s="18" t="n">
        <x:f>IF(I27=1,J27*('校正統計'!$B$7*D27+'校正統計'!$B$8),"")</x:f>
        <x:v>162.95943088712326</x:v>
      </x:c>
      <x:c r="N27" s="18" t="n">
        <x:f>IF(I27=1,M27-C27,"")</x:f>
        <x:v>0.9594308871232613</x:v>
      </x:c>
      <x:c r="O27" s="18" t="n">
        <x:f>IF(I27=1,J27*D27/'校正統計'!$B$9,"")</x:f>
        <x:v>164.16658806867287</x:v>
      </x:c>
      <x:c r="P27" s="18" t="n">
        <x:f>IF(I27=1,O27-C27,"")</x:f>
        <x:v>2.1665880686728656</x:v>
      </x:c>
      <x:c r="Q27" s="18" t="n">
        <x:f>IF(I27=1,J27*(0.0013599938652549585*D27+0.014432794417975773)-C27,"")</x:f>
        <x:v>-4.195097877346228</x:v>
      </x:c>
      <x:c r="R27" s="18" t="n">
        <x:f>IF(I27=1,J27*D27/697.7877515437722-C27,"")</x:f>
        <x:v>-2.753868559371739</x:v>
      </x:c>
      <x:c r="S27" s="18" t="n">
        <x:f>IF(I27=1,J27*L27,0)</x:f>
        <x:v>312.52500000000003</x:v>
      </x:c>
      <x:c r="T27" s="18" t="n">
        <x:f>IF(I27=1,L27^2,0)</x:f>
        <x:v>0.45562500000000006</x:v>
      </x:c>
      <x:c r="U27" s="16" t="n">
        <x:f>IF(I27=1,J27,"")</x:f>
        <x:v>463</x:v>
      </x:c>
      <x:c r="V27" s="3" t="str">
        <x:v>完整頭腳；納入</x:v>
      </x:c>
    </x:row>
    <x:row r="28" ht="26" customHeight="1">
      <x:c r="A28" s="3" t="str">
        <x:v>162_lai/240 (4).jpg</x:v>
      </x:c>
      <x:c r="B28" s="3" t="str">
        <x:v>162_lai</x:v>
      </x:c>
      <x:c r="C28" s="16" t="n">
        <x:v>162</x:v>
      </x:c>
      <x:c r="D28" s="16" t="n">
        <x:v>240</x:v>
      </x:c>
      <x:c r="E28" s="16" t="n">
        <x:v>526</x:v>
      </x:c>
      <x:c r="F28" s="16" t="n">
        <x:v>164</x:v>
      </x:c>
      <x:c r="G28" s="16" t="n">
        <x:v>688</x:v>
      </x:c>
      <x:c r="H28" s="16" t="n">
        <x:v>625</x:v>
      </x:c>
      <x:c r="I28" s="16" t="n">
        <x:v>1</x:v>
      </x:c>
      <x:c r="J28" s="16" t="n">
        <x:f>H28-F28+1</x:f>
        <x:v>462</x:v>
      </x:c>
      <x:c r="K28" s="17" t="n">
        <x:f>IF(I28=1,C28/J28,"")</x:f>
        <x:v>0.35064935064935066</x:v>
      </x:c>
      <x:c r="L28" s="17" t="n">
        <x:f>C28/D28</x:f>
        <x:v>0.675</x:v>
      </x:c>
      <x:c r="M28" s="18" t="n">
        <x:f>IF(I28=1,J28*('校正統計'!$B$7*D28+'校正統計'!$B$8),"")</x:f>
        <x:v>162.60746667354417</x:v>
      </x:c>
      <x:c r="N28" s="18" t="n">
        <x:f>IF(I28=1,M28-C28,"")</x:f>
        <x:v>0.6074666735441667</x:v>
      </x:c>
      <x:c r="O28" s="18" t="n">
        <x:f>IF(I28=1,J28*D28/'校正統計'!$B$9,"")</x:f>
        <x:v>163.8120166041617</x:v>
      </x:c>
      <x:c r="P28" s="18" t="n">
        <x:f>IF(I28=1,O28-C28,"")</x:f>
        <x:v>1.8120166041616983</x:v>
      </x:c>
      <x:c r="Q28" s="18" t="n">
        <x:f>IF(I28=1,J28*(0.0013599938652549585*D28+0.014432794417975773)-C28,"")</x:f>
        <x:v>-4.5359291994253965</x:v>
      </x:c>
      <x:c r="R28" s="18" t="n">
        <x:f>IF(I28=1,J28*D28/697.7877515437722-C28,"")</x:f>
        <x:v>-3.097812687753219</x:v>
      </x:c>
      <x:c r="S28" s="18" t="n">
        <x:f>IF(I28=1,J28*L28,0)</x:f>
        <x:v>311.85</x:v>
      </x:c>
      <x:c r="T28" s="18" t="n">
        <x:f>IF(I28=1,L28^2,0)</x:f>
        <x:v>0.45562500000000006</x:v>
      </x:c>
      <x:c r="U28" s="16" t="n">
        <x:f>IF(I28=1,J28,"")</x:f>
        <x:v>462</x:v>
      </x:c>
      <x:c r="V28" s="3" t="str">
        <x:v>完整頭腳；納入</x:v>
      </x:c>
    </x:row>
    <x:row r="29" ht="26" customHeight="1">
      <x:c r="A29" s="3" t="str">
        <x:v>162_lai/240 (5).jpg</x:v>
      </x:c>
      <x:c r="B29" s="3" t="str">
        <x:v>162_lai</x:v>
      </x:c>
      <x:c r="C29" s="16" t="n">
        <x:v>162</x:v>
      </x:c>
      <x:c r="D29" s="16" t="n">
        <x:v>240</x:v>
      </x:c>
      <x:c r="E29" s="16" t="n">
        <x:v>525</x:v>
      </x:c>
      <x:c r="F29" s="16" t="n">
        <x:v>160</x:v>
      </x:c>
      <x:c r="G29" s="16" t="n">
        <x:v>687</x:v>
      </x:c>
      <x:c r="H29" s="16" t="n">
        <x:v>621</x:v>
      </x:c>
      <x:c r="I29" s="16" t="n">
        <x:v>1</x:v>
      </x:c>
      <x:c r="J29" s="16" t="n">
        <x:f>H29-F29+1</x:f>
        <x:v>462</x:v>
      </x:c>
      <x:c r="K29" s="17" t="n">
        <x:f>IF(I29=1,C29/J29,"")</x:f>
        <x:v>0.35064935064935066</x:v>
      </x:c>
      <x:c r="L29" s="17" t="n">
        <x:f>C29/D29</x:f>
        <x:v>0.675</x:v>
      </x:c>
      <x:c r="M29" s="18" t="n">
        <x:f>IF(I29=1,J29*('校正統計'!$B$7*D29+'校正統計'!$B$8),"")</x:f>
        <x:v>162.60746667354417</x:v>
      </x:c>
      <x:c r="N29" s="18" t="n">
        <x:f>IF(I29=1,M29-C29,"")</x:f>
        <x:v>0.6074666735441667</x:v>
      </x:c>
      <x:c r="O29" s="18" t="n">
        <x:f>IF(I29=1,J29*D29/'校正統計'!$B$9,"")</x:f>
        <x:v>163.8120166041617</x:v>
      </x:c>
      <x:c r="P29" s="18" t="n">
        <x:f>IF(I29=1,O29-C29,"")</x:f>
        <x:v>1.8120166041616983</x:v>
      </x:c>
      <x:c r="Q29" s="18" t="n">
        <x:f>IF(I29=1,J29*(0.0013599938652549585*D29+0.014432794417975773)-C29,"")</x:f>
        <x:v>-4.5359291994253965</x:v>
      </x:c>
      <x:c r="R29" s="18" t="n">
        <x:f>IF(I29=1,J29*D29/697.7877515437722-C29,"")</x:f>
        <x:v>-3.097812687753219</x:v>
      </x:c>
      <x:c r="S29" s="18" t="n">
        <x:f>IF(I29=1,J29*L29,0)</x:f>
        <x:v>311.85</x:v>
      </x:c>
      <x:c r="T29" s="18" t="n">
        <x:f>IF(I29=1,L29^2,0)</x:f>
        <x:v>0.45562500000000006</x:v>
      </x:c>
      <x:c r="U29" s="16" t="n">
        <x:f>IF(I29=1,J29,"")</x:f>
        <x:v>462</x:v>
      </x:c>
      <x:c r="V29" s="3" t="str">
        <x:v>完整頭腳；納入</x:v>
      </x:c>
    </x:row>
    <x:row r="30" ht="26" customHeight="1">
      <x:c r="A30" s="3" t="str">
        <x:v>162_lai/240 (6).jpg</x:v>
      </x:c>
      <x:c r="B30" s="3" t="str">
        <x:v>162_lai</x:v>
      </x:c>
      <x:c r="C30" s="16" t="n">
        <x:v>162</x:v>
      </x:c>
      <x:c r="D30" s="16" t="n">
        <x:v>240</x:v>
      </x:c>
      <x:c r="E30" s="16" t="n">
        <x:v>524</x:v>
      </x:c>
      <x:c r="F30" s="16" t="n">
        <x:v>160</x:v>
      </x:c>
      <x:c r="G30" s="16" t="n">
        <x:v>685</x:v>
      </x:c>
      <x:c r="H30" s="16" t="n">
        <x:v>621</x:v>
      </x:c>
      <x:c r="I30" s="16" t="n">
        <x:v>1</x:v>
      </x:c>
      <x:c r="J30" s="16" t="n">
        <x:f>H30-F30+1</x:f>
        <x:v>462</x:v>
      </x:c>
      <x:c r="K30" s="17" t="n">
        <x:f>IF(I30=1,C30/J30,"")</x:f>
        <x:v>0.35064935064935066</x:v>
      </x:c>
      <x:c r="L30" s="17" t="n">
        <x:f>C30/D30</x:f>
        <x:v>0.675</x:v>
      </x:c>
      <x:c r="M30" s="18" t="n">
        <x:f>IF(I30=1,J30*('校正統計'!$B$7*D30+'校正統計'!$B$8),"")</x:f>
        <x:v>162.60746667354417</x:v>
      </x:c>
      <x:c r="N30" s="18" t="n">
        <x:f>IF(I30=1,M30-C30,"")</x:f>
        <x:v>0.6074666735441667</x:v>
      </x:c>
      <x:c r="O30" s="18" t="n">
        <x:f>IF(I30=1,J30*D30/'校正統計'!$B$9,"")</x:f>
        <x:v>163.8120166041617</x:v>
      </x:c>
      <x:c r="P30" s="18" t="n">
        <x:f>IF(I30=1,O30-C30,"")</x:f>
        <x:v>1.8120166041616983</x:v>
      </x:c>
      <x:c r="Q30" s="18" t="n">
        <x:f>IF(I30=1,J30*(0.0013599938652549585*D30+0.014432794417975773)-C30,"")</x:f>
        <x:v>-4.5359291994253965</x:v>
      </x:c>
      <x:c r="R30" s="18" t="n">
        <x:f>IF(I30=1,J30*D30/697.7877515437722-C30,"")</x:f>
        <x:v>-3.097812687753219</x:v>
      </x:c>
      <x:c r="S30" s="18" t="n">
        <x:f>IF(I30=1,J30*L30,0)</x:f>
        <x:v>311.85</x:v>
      </x:c>
      <x:c r="T30" s="18" t="n">
        <x:f>IF(I30=1,L30^2,0)</x:f>
        <x:v>0.45562500000000006</x:v>
      </x:c>
      <x:c r="U30" s="16" t="n">
        <x:f>IF(I30=1,J30,"")</x:f>
        <x:v>462</x:v>
      </x:c>
      <x:c r="V30" s="3" t="str">
        <x:v>完整頭腳；納入</x:v>
      </x:c>
    </x:row>
    <x:row r="31" ht="26" customHeight="1">
      <x:c r="A31" s="3" t="str">
        <x:v>162_lai/240 (7).jpg</x:v>
      </x:c>
      <x:c r="B31" s="3" t="str">
        <x:v>162_lai</x:v>
      </x:c>
      <x:c r="C31" s="16" t="n">
        <x:v>162</x:v>
      </x:c>
      <x:c r="D31" s="16" t="n">
        <x:v>240</x:v>
      </x:c>
      <x:c r="E31" s="16" t="n">
        <x:v>526</x:v>
      </x:c>
      <x:c r="F31" s="16" t="n">
        <x:v>161</x:v>
      </x:c>
      <x:c r="G31" s="16" t="n">
        <x:v>686</x:v>
      </x:c>
      <x:c r="H31" s="16" t="n">
        <x:v>622</x:v>
      </x:c>
      <x:c r="I31" s="16" t="n">
        <x:v>1</x:v>
      </x:c>
      <x:c r="J31" s="16" t="n">
        <x:f>H31-F31+1</x:f>
        <x:v>462</x:v>
      </x:c>
      <x:c r="K31" s="17" t="n">
        <x:f>IF(I31=1,C31/J31,"")</x:f>
        <x:v>0.35064935064935066</x:v>
      </x:c>
      <x:c r="L31" s="17" t="n">
        <x:f>C31/D31</x:f>
        <x:v>0.675</x:v>
      </x:c>
      <x:c r="M31" s="18" t="n">
        <x:f>IF(I31=1,J31*('校正統計'!$B$7*D31+'校正統計'!$B$8),"")</x:f>
        <x:v>162.60746667354417</x:v>
      </x:c>
      <x:c r="N31" s="18" t="n">
        <x:f>IF(I31=1,M31-C31,"")</x:f>
        <x:v>0.6074666735441667</x:v>
      </x:c>
      <x:c r="O31" s="18" t="n">
        <x:f>IF(I31=1,J31*D31/'校正統計'!$B$9,"")</x:f>
        <x:v>163.8120166041617</x:v>
      </x:c>
      <x:c r="P31" s="18" t="n">
        <x:f>IF(I31=1,O31-C31,"")</x:f>
        <x:v>1.8120166041616983</x:v>
      </x:c>
      <x:c r="Q31" s="18" t="n">
        <x:f>IF(I31=1,J31*(0.0013599938652549585*D31+0.014432794417975773)-C31,"")</x:f>
        <x:v>-4.5359291994253965</x:v>
      </x:c>
      <x:c r="R31" s="18" t="n">
        <x:f>IF(I31=1,J31*D31/697.7877515437722-C31,"")</x:f>
        <x:v>-3.097812687753219</x:v>
      </x:c>
      <x:c r="S31" s="18" t="n">
        <x:f>IF(I31=1,J31*L31,0)</x:f>
        <x:v>311.85</x:v>
      </x:c>
      <x:c r="T31" s="18" t="n">
        <x:f>IF(I31=1,L31^2,0)</x:f>
        <x:v>0.45562500000000006</x:v>
      </x:c>
      <x:c r="U31" s="16" t="n">
        <x:f>IF(I31=1,J31,"")</x:f>
        <x:v>462</x:v>
      </x:c>
      <x:c r="V31" s="3" t="str">
        <x:v>完整頭腳；納入</x:v>
      </x:c>
    </x:row>
    <x:row r="32" ht="26" customHeight="1">
      <x:c r="A32" s="3" t="str">
        <x:v>162_lai/260 (1).jpg</x:v>
      </x:c>
      <x:c r="B32" s="3" t="str">
        <x:v>162_lai</x:v>
      </x:c>
      <x:c r="C32" s="16" t="n">
        <x:v>162</x:v>
      </x:c>
      <x:c r="D32" s="16" t="n">
        <x:v>260</x:v>
      </x:c>
      <x:c r="E32" s="16" t="n">
        <x:v>536</x:v>
      </x:c>
      <x:c r="F32" s="16" t="n">
        <x:v>163</x:v>
      </x:c>
      <x:c r="G32" s="16" t="n">
        <x:v>686</x:v>
      </x:c>
      <x:c r="H32" s="16" t="n">
        <x:v>591</x:v>
      </x:c>
      <x:c r="I32" s="16" t="n">
        <x:v>1</x:v>
      </x:c>
      <x:c r="J32" s="16" t="n">
        <x:f>H32-F32+1</x:f>
        <x:v>429</x:v>
      </x:c>
      <x:c r="K32" s="17" t="n">
        <x:f>IF(I32=1,C32/J32,"")</x:f>
        <x:v>0.3776223776223776</x:v>
      </x:c>
      <x:c r="L32" s="17" t="n">
        <x:f>C32/D32</x:f>
        <x:v>0.6230769230769231</x:v>
      </x:c>
      <x:c r="M32" s="18" t="n">
        <x:f>IF(I32=1,J32*('校正統計'!$B$7*D32+'校正統計'!$B$8),"")</x:f>
        <x:v>162.7866028359271</x:v>
      </x:c>
      <x:c r="N32" s="18" t="n">
        <x:f>IF(I32=1,M32-C32,"")</x:f>
        <x:v>0.7866028359271127</x:v>
      </x:c>
      <x:c r="O32" s="18" t="n">
        <x:f>IF(I32=1,J32*D32/'校正統計'!$B$9,"")</x:f>
        <x:v>164.78708813156743</x:v>
      </x:c>
      <x:c r="P32" s="18" t="n">
        <x:f>IF(I32=1,O32-C32,"")</x:f>
        <x:v>2.7870881315674296</x:v>
      </x:c>
      <x:c r="Q32" s="18" t="n">
        <x:f>IF(I32=1,J32*(0.0013599938652549585*D32+0.014432794417975773)-C32,"")</x:f>
        <x:v>-4.114615464150319</x:v>
      </x:c>
      <x:c r="R32" s="18" t="n">
        <x:f>IF(I32=1,J32*D32/697.7877515437722-C32,"")</x:f>
        <x:v>-2.1519663347041273</x:v>
      </x:c>
      <x:c r="S32" s="18" t="n">
        <x:f>IF(I32=1,J32*L32,0)</x:f>
        <x:v>267.3</x:v>
      </x:c>
      <x:c r="T32" s="18" t="n">
        <x:f>IF(I32=1,L32^2,0)</x:f>
        <x:v>0.38822485207100593</x:v>
      </x:c>
      <x:c r="U32" s="16" t="n">
        <x:f>IF(I32=1,J32,"")</x:f>
        <x:v>429</x:v>
      </x:c>
      <x:c r="V32" s="3" t="str">
        <x:v>完整頭腳；納入</x:v>
      </x:c>
    </x:row>
    <x:row r="33" ht="26" customHeight="1">
      <x:c r="A33" s="3" t="str">
        <x:v>162_lai/260 (2).jpg</x:v>
      </x:c>
      <x:c r="B33" s="3" t="str">
        <x:v>162_lai</x:v>
      </x:c>
      <x:c r="C33" s="16" t="n">
        <x:v>162</x:v>
      </x:c>
      <x:c r="D33" s="16" t="n">
        <x:v>260</x:v>
      </x:c>
      <x:c r="E33" s="16" t="n">
        <x:v>537</x:v>
      </x:c>
      <x:c r="F33" s="16" t="n">
        <x:v>165</x:v>
      </x:c>
      <x:c r="G33" s="16" t="n">
        <x:v>686</x:v>
      </x:c>
      <x:c r="H33" s="16" t="n">
        <x:v>593</x:v>
      </x:c>
      <x:c r="I33" s="16" t="n">
        <x:v>1</x:v>
      </x:c>
      <x:c r="J33" s="16" t="n">
        <x:f>H33-F33+1</x:f>
        <x:v>429</x:v>
      </x:c>
      <x:c r="K33" s="17" t="n">
        <x:f>IF(I33=1,C33/J33,"")</x:f>
        <x:v>0.3776223776223776</x:v>
      </x:c>
      <x:c r="L33" s="17" t="n">
        <x:f>C33/D33</x:f>
        <x:v>0.6230769230769231</x:v>
      </x:c>
      <x:c r="M33" s="18" t="n">
        <x:f>IF(I33=1,J33*('校正統計'!$B$7*D33+'校正統計'!$B$8),"")</x:f>
        <x:v>162.7866028359271</x:v>
      </x:c>
      <x:c r="N33" s="18" t="n">
        <x:f>IF(I33=1,M33-C33,"")</x:f>
        <x:v>0.7866028359271127</x:v>
      </x:c>
      <x:c r="O33" s="18" t="n">
        <x:f>IF(I33=1,J33*D33/'校正統計'!$B$9,"")</x:f>
        <x:v>164.78708813156743</x:v>
      </x:c>
      <x:c r="P33" s="18" t="n">
        <x:f>IF(I33=1,O33-C33,"")</x:f>
        <x:v>2.7870881315674296</x:v>
      </x:c>
      <x:c r="Q33" s="18" t="n">
        <x:f>IF(I33=1,J33*(0.0013599938652549585*D33+0.014432794417975773)-C33,"")</x:f>
        <x:v>-4.114615464150319</x:v>
      </x:c>
      <x:c r="R33" s="18" t="n">
        <x:f>IF(I33=1,J33*D33/697.7877515437722-C33,"")</x:f>
        <x:v>-2.1519663347041273</x:v>
      </x:c>
      <x:c r="S33" s="18" t="n">
        <x:f>IF(I33=1,J33*L33,0)</x:f>
        <x:v>267.3</x:v>
      </x:c>
      <x:c r="T33" s="18" t="n">
        <x:f>IF(I33=1,L33^2,0)</x:f>
        <x:v>0.38822485207100593</x:v>
      </x:c>
      <x:c r="U33" s="16" t="n">
        <x:f>IF(I33=1,J33,"")</x:f>
        <x:v>429</x:v>
      </x:c>
      <x:c r="V33" s="3" t="str">
        <x:v>完整頭腳；納入</x:v>
      </x:c>
    </x:row>
    <x:row r="34" ht="26" customHeight="1">
      <x:c r="A34" s="3" t="str">
        <x:v>162_lai/260 (3).jpg</x:v>
      </x:c>
      <x:c r="B34" s="3" t="str">
        <x:v>162_lai</x:v>
      </x:c>
      <x:c r="C34" s="16" t="n">
        <x:v>162</x:v>
      </x:c>
      <x:c r="D34" s="16" t="n">
        <x:v>260</x:v>
      </x:c>
      <x:c r="E34" s="16" t="n">
        <x:v>538</x:v>
      </x:c>
      <x:c r="F34" s="16" t="n">
        <x:v>166</x:v>
      </x:c>
      <x:c r="G34" s="16" t="n">
        <x:v>688</x:v>
      </x:c>
      <x:c r="H34" s="16" t="n">
        <x:v>593</x:v>
      </x:c>
      <x:c r="I34" s="16" t="n">
        <x:v>1</x:v>
      </x:c>
      <x:c r="J34" s="16" t="n">
        <x:f>H34-F34+1</x:f>
        <x:v>428</x:v>
      </x:c>
      <x:c r="K34" s="17" t="n">
        <x:f>IF(I34=1,C34/J34,"")</x:f>
        <x:v>0.37850467289719625</x:v>
      </x:c>
      <x:c r="L34" s="17" t="n">
        <x:f>C34/D34</x:f>
        <x:v>0.6230769230769231</x:v>
      </x:c>
      <x:c r="M34" s="18" t="n">
        <x:f>IF(I34=1,J34*('校正統計'!$B$7*D34+'校正統計'!$B$8),"")</x:f>
        <x:v>162.4071468852606</x:v>
      </x:c>
      <x:c r="N34" s="18" t="n">
        <x:f>IF(I34=1,M34-C34,"")</x:f>
        <x:v>0.4071468852606017</x:v>
      </x:c>
      <x:c r="O34" s="18" t="n">
        <x:f>IF(I34=1,J34*D34/'校正統計'!$B$9,"")</x:f>
        <x:v>164.40296904501366</x:v>
      </x:c>
      <x:c r="P34" s="18" t="n">
        <x:f>IF(I34=1,O34-C34,"")</x:f>
        <x:v>2.4029690450136627</x:v>
      </x:c>
      <x:c r="Q34" s="18" t="n">
        <x:f>IF(I34=1,J34*(0.0013599938652549585*D34+0.014432794417975773)-C34,"")</x:f>
        <x:v>-4.482646663534581</x:v>
      </x:c>
      <x:c r="R34" s="18" t="n">
        <x:f>IF(I34=1,J34*D34/697.7877515437722-C34,"")</x:f>
        <x:v>-2.524572473784076</x:v>
      </x:c>
      <x:c r="S34" s="18" t="n">
        <x:f>IF(I34=1,J34*L34,0)</x:f>
        <x:v>266.67692307692306</x:v>
      </x:c>
      <x:c r="T34" s="18" t="n">
        <x:f>IF(I34=1,L34^2,0)</x:f>
        <x:v>0.38822485207100593</x:v>
      </x:c>
      <x:c r="U34" s="16" t="n">
        <x:f>IF(I34=1,J34,"")</x:f>
        <x:v>428</x:v>
      </x:c>
      <x:c r="V34" s="3" t="str">
        <x:v>完整頭腳；納入</x:v>
      </x:c>
    </x:row>
    <x:row r="35" ht="26" customHeight="1">
      <x:c r="A35" s="3" t="str">
        <x:v>162_lai/260 (4).jpg</x:v>
      </x:c>
      <x:c r="B35" s="3" t="str">
        <x:v>162_lai</x:v>
      </x:c>
      <x:c r="C35" s="16" t="n">
        <x:v>162</x:v>
      </x:c>
      <x:c r="D35" s="16" t="n">
        <x:v>260</x:v>
      </x:c>
      <x:c r="E35" s="16" t="n">
        <x:v>538</x:v>
      </x:c>
      <x:c r="F35" s="16" t="n">
        <x:v>167</x:v>
      </x:c>
      <x:c r="G35" s="16" t="n">
        <x:v>687</x:v>
      </x:c>
      <x:c r="H35" s="16" t="n">
        <x:v>594</x:v>
      </x:c>
      <x:c r="I35" s="16" t="n">
        <x:v>1</x:v>
      </x:c>
      <x:c r="J35" s="16" t="n">
        <x:f>H35-F35+1</x:f>
        <x:v>428</x:v>
      </x:c>
      <x:c r="K35" s="17" t="n">
        <x:f>IF(I35=1,C35/J35,"")</x:f>
        <x:v>0.37850467289719625</x:v>
      </x:c>
      <x:c r="L35" s="17" t="n">
        <x:f>C35/D35</x:f>
        <x:v>0.6230769230769231</x:v>
      </x:c>
      <x:c r="M35" s="18" t="n">
        <x:f>IF(I35=1,J35*('校正統計'!$B$7*D35+'校正統計'!$B$8),"")</x:f>
        <x:v>162.4071468852606</x:v>
      </x:c>
      <x:c r="N35" s="18" t="n">
        <x:f>IF(I35=1,M35-C35,"")</x:f>
        <x:v>0.4071468852606017</x:v>
      </x:c>
      <x:c r="O35" s="18" t="n">
        <x:f>IF(I35=1,J35*D35/'校正統計'!$B$9,"")</x:f>
        <x:v>164.40296904501366</x:v>
      </x:c>
      <x:c r="P35" s="18" t="n">
        <x:f>IF(I35=1,O35-C35,"")</x:f>
        <x:v>2.4029690450136627</x:v>
      </x:c>
      <x:c r="Q35" s="18" t="n">
        <x:f>IF(I35=1,J35*(0.0013599938652549585*D35+0.014432794417975773)-C35,"")</x:f>
        <x:v>-4.482646663534581</x:v>
      </x:c>
      <x:c r="R35" s="18" t="n">
        <x:f>IF(I35=1,J35*D35/697.7877515437722-C35,"")</x:f>
        <x:v>-2.524572473784076</x:v>
      </x:c>
      <x:c r="S35" s="18" t="n">
        <x:f>IF(I35=1,J35*L35,0)</x:f>
        <x:v>266.67692307692306</x:v>
      </x:c>
      <x:c r="T35" s="18" t="n">
        <x:f>IF(I35=1,L35^2,0)</x:f>
        <x:v>0.38822485207100593</x:v>
      </x:c>
      <x:c r="U35" s="16" t="n">
        <x:f>IF(I35=1,J35,"")</x:f>
        <x:v>428</x:v>
      </x:c>
      <x:c r="V35" s="3" t="str">
        <x:v>完整頭腳；納入</x:v>
      </x:c>
    </x:row>
    <x:row r="36" ht="26" customHeight="1">
      <x:c r="A36" s="3" t="str">
        <x:v>162_lai/260 (5).jpg</x:v>
      </x:c>
      <x:c r="B36" s="3" t="str">
        <x:v>162_lai</x:v>
      </x:c>
      <x:c r="C36" s="16" t="n">
        <x:v>162</x:v>
      </x:c>
      <x:c r="D36" s="16" t="n">
        <x:v>260</x:v>
      </x:c>
      <x:c r="E36" s="16" t="n">
        <x:v>539</x:v>
      </x:c>
      <x:c r="F36" s="16" t="n">
        <x:v>165</x:v>
      </x:c>
      <x:c r="G36" s="16" t="n">
        <x:v>688</x:v>
      </x:c>
      <x:c r="H36" s="16" t="n">
        <x:v>593</x:v>
      </x:c>
      <x:c r="I36" s="16" t="n">
        <x:v>1</x:v>
      </x:c>
      <x:c r="J36" s="16" t="n">
        <x:f>H36-F36+1</x:f>
        <x:v>429</x:v>
      </x:c>
      <x:c r="K36" s="17" t="n">
        <x:f>IF(I36=1,C36/J36,"")</x:f>
        <x:v>0.3776223776223776</x:v>
      </x:c>
      <x:c r="L36" s="17" t="n">
        <x:f>C36/D36</x:f>
        <x:v>0.6230769230769231</x:v>
      </x:c>
      <x:c r="M36" s="18" t="n">
        <x:f>IF(I36=1,J36*('校正統計'!$B$7*D36+'校正統計'!$B$8),"")</x:f>
        <x:v>162.7866028359271</x:v>
      </x:c>
      <x:c r="N36" s="18" t="n">
        <x:f>IF(I36=1,M36-C36,"")</x:f>
        <x:v>0.7866028359271127</x:v>
      </x:c>
      <x:c r="O36" s="18" t="n">
        <x:f>IF(I36=1,J36*D36/'校正統計'!$B$9,"")</x:f>
        <x:v>164.78708813156743</x:v>
      </x:c>
      <x:c r="P36" s="18" t="n">
        <x:f>IF(I36=1,O36-C36,"")</x:f>
        <x:v>2.7870881315674296</x:v>
      </x:c>
      <x:c r="Q36" s="18" t="n">
        <x:f>IF(I36=1,J36*(0.0013599938652549585*D36+0.014432794417975773)-C36,"")</x:f>
        <x:v>-4.114615464150319</x:v>
      </x:c>
      <x:c r="R36" s="18" t="n">
        <x:f>IF(I36=1,J36*D36/697.7877515437722-C36,"")</x:f>
        <x:v>-2.1519663347041273</x:v>
      </x:c>
      <x:c r="S36" s="18" t="n">
        <x:f>IF(I36=1,J36*L36,0)</x:f>
        <x:v>267.3</x:v>
      </x:c>
      <x:c r="T36" s="18" t="n">
        <x:f>IF(I36=1,L36^2,0)</x:f>
        <x:v>0.38822485207100593</x:v>
      </x:c>
      <x:c r="U36" s="16" t="n">
        <x:f>IF(I36=1,J36,"")</x:f>
        <x:v>429</x:v>
      </x:c>
      <x:c r="V36" s="3" t="str">
        <x:v>完整頭腳；納入</x:v>
      </x:c>
    </x:row>
    <x:row r="37" ht="26" customHeight="1">
      <x:c r="A37" s="3" t="str">
        <x:v>162_lai/260 (6).jpg</x:v>
      </x:c>
      <x:c r="B37" s="3" t="str">
        <x:v>162_lai</x:v>
      </x:c>
      <x:c r="C37" s="16" t="n">
        <x:v>162</x:v>
      </x:c>
      <x:c r="D37" s="16" t="n">
        <x:v>260</x:v>
      </x:c>
      <x:c r="E37" s="16" t="n">
        <x:v>538</x:v>
      </x:c>
      <x:c r="F37" s="16" t="n">
        <x:v>167</x:v>
      </x:c>
      <x:c r="G37" s="16" t="n">
        <x:v>688</x:v>
      </x:c>
      <x:c r="H37" s="16" t="n">
        <x:v>594</x:v>
      </x:c>
      <x:c r="I37" s="16" t="n">
        <x:v>1</x:v>
      </x:c>
      <x:c r="J37" s="16" t="n">
        <x:f>H37-F37+1</x:f>
        <x:v>428</x:v>
      </x:c>
      <x:c r="K37" s="17" t="n">
        <x:f>IF(I37=1,C37/J37,"")</x:f>
        <x:v>0.37850467289719625</x:v>
      </x:c>
      <x:c r="L37" s="17" t="n">
        <x:f>C37/D37</x:f>
        <x:v>0.6230769230769231</x:v>
      </x:c>
      <x:c r="M37" s="18" t="n">
        <x:f>IF(I37=1,J37*('校正統計'!$B$7*D37+'校正統計'!$B$8),"")</x:f>
        <x:v>162.4071468852606</x:v>
      </x:c>
      <x:c r="N37" s="18" t="n">
        <x:f>IF(I37=1,M37-C37,"")</x:f>
        <x:v>0.4071468852606017</x:v>
      </x:c>
      <x:c r="O37" s="18" t="n">
        <x:f>IF(I37=1,J37*D37/'校正統計'!$B$9,"")</x:f>
        <x:v>164.40296904501366</x:v>
      </x:c>
      <x:c r="P37" s="18" t="n">
        <x:f>IF(I37=1,O37-C37,"")</x:f>
        <x:v>2.4029690450136627</x:v>
      </x:c>
      <x:c r="Q37" s="18" t="n">
        <x:f>IF(I37=1,J37*(0.0013599938652549585*D37+0.014432794417975773)-C37,"")</x:f>
        <x:v>-4.482646663534581</x:v>
      </x:c>
      <x:c r="R37" s="18" t="n">
        <x:f>IF(I37=1,J37*D37/697.7877515437722-C37,"")</x:f>
        <x:v>-2.524572473784076</x:v>
      </x:c>
      <x:c r="S37" s="18" t="n">
        <x:f>IF(I37=1,J37*L37,0)</x:f>
        <x:v>266.67692307692306</x:v>
      </x:c>
      <x:c r="T37" s="18" t="n">
        <x:f>IF(I37=1,L37^2,0)</x:f>
        <x:v>0.38822485207100593</x:v>
      </x:c>
      <x:c r="U37" s="16" t="n">
        <x:f>IF(I37=1,J37,"")</x:f>
        <x:v>428</x:v>
      </x:c>
      <x:c r="V37" s="3" t="str">
        <x:v>完整頭腳；納入</x:v>
      </x:c>
    </x:row>
    <x:row r="38" ht="26" customHeight="1">
      <x:c r="A38" s="3" t="str">
        <x:v>162_lai/260 (7).jpg</x:v>
      </x:c>
      <x:c r="B38" s="3" t="str">
        <x:v>162_lai</x:v>
      </x:c>
      <x:c r="C38" s="16" t="n">
        <x:v>162</x:v>
      </x:c>
      <x:c r="D38" s="16" t="n">
        <x:v>260</x:v>
      </x:c>
      <x:c r="E38" s="16" t="n">
        <x:v>539</x:v>
      </x:c>
      <x:c r="F38" s="16" t="n">
        <x:v>166</x:v>
      </x:c>
      <x:c r="G38" s="16" t="n">
        <x:v>688</x:v>
      </x:c>
      <x:c r="H38" s="16" t="n">
        <x:v>593</x:v>
      </x:c>
      <x:c r="I38" s="16" t="n">
        <x:v>1</x:v>
      </x:c>
      <x:c r="J38" s="16" t="n">
        <x:f>H38-F38+1</x:f>
        <x:v>428</x:v>
      </x:c>
      <x:c r="K38" s="17" t="n">
        <x:f>IF(I38=1,C38/J38,"")</x:f>
        <x:v>0.37850467289719625</x:v>
      </x:c>
      <x:c r="L38" s="17" t="n">
        <x:f>C38/D38</x:f>
        <x:v>0.6230769230769231</x:v>
      </x:c>
      <x:c r="M38" s="18" t="n">
        <x:f>IF(I38=1,J38*('校正統計'!$B$7*D38+'校正統計'!$B$8),"")</x:f>
        <x:v>162.4071468852606</x:v>
      </x:c>
      <x:c r="N38" s="18" t="n">
        <x:f>IF(I38=1,M38-C38,"")</x:f>
        <x:v>0.4071468852606017</x:v>
      </x:c>
      <x:c r="O38" s="18" t="n">
        <x:f>IF(I38=1,J38*D38/'校正統計'!$B$9,"")</x:f>
        <x:v>164.40296904501366</x:v>
      </x:c>
      <x:c r="P38" s="18" t="n">
        <x:f>IF(I38=1,O38-C38,"")</x:f>
        <x:v>2.4029690450136627</x:v>
      </x:c>
      <x:c r="Q38" s="18" t="n">
        <x:f>IF(I38=1,J38*(0.0013599938652549585*D38+0.014432794417975773)-C38,"")</x:f>
        <x:v>-4.482646663534581</x:v>
      </x:c>
      <x:c r="R38" s="18" t="n">
        <x:f>IF(I38=1,J38*D38/697.7877515437722-C38,"")</x:f>
        <x:v>-2.524572473784076</x:v>
      </x:c>
      <x:c r="S38" s="18" t="n">
        <x:f>IF(I38=1,J38*L38,0)</x:f>
        <x:v>266.67692307692306</x:v>
      </x:c>
      <x:c r="T38" s="18" t="n">
        <x:f>IF(I38=1,L38^2,0)</x:f>
        <x:v>0.38822485207100593</x:v>
      </x:c>
      <x:c r="U38" s="16" t="n">
        <x:f>IF(I38=1,J38,"")</x:f>
        <x:v>428</x:v>
      </x:c>
      <x:c r="V38" s="3" t="str">
        <x:v>完整頭腳；納入</x:v>
      </x:c>
    </x:row>
    <x:row r="39" ht="26" customHeight="1">
      <x:c r="A39" s="3" t="str">
        <x:v>162_lai/300 (1).jpg</x:v>
      </x:c>
      <x:c r="B39" s="3" t="str">
        <x:v>162_lai</x:v>
      </x:c>
      <x:c r="C39" s="16" t="n">
        <x:v>162</x:v>
      </x:c>
      <x:c r="D39" s="16" t="n">
        <x:v>300</x:v>
      </x:c>
      <x:c r="E39" s="16" t="n">
        <x:v>544</x:v>
      </x:c>
      <x:c r="F39" s="16" t="n">
        <x:v>190</x:v>
      </x:c>
      <x:c r="G39" s="16" t="n">
        <x:v>673</x:v>
      </x:c>
      <x:c r="H39" s="16" t="n">
        <x:v>567</x:v>
      </x:c>
      <x:c r="I39" s="16" t="n">
        <x:v>1</x:v>
      </x:c>
      <x:c r="J39" s="16" t="n">
        <x:f>H39-F39+1</x:f>
        <x:v>378</x:v>
      </x:c>
      <x:c r="K39" s="17" t="n">
        <x:f>IF(I39=1,C39/J39,"")</x:f>
        <x:v>0.42857142857142855</x:v>
      </x:c>
      <x:c r="L39" s="17" t="n">
        <x:f>C39/D39</x:f>
        <x:v>0.54</x:v>
      </x:c>
      <x:c r="M39" s="18" t="n">
        <x:f>IF(I39=1,J39*('校正統計'!$B$7*D39+'校正統計'!$B$8),"")</x:f>
        <x:v>164.21810259000782</x:v>
      </x:c>
      <x:c r="N39" s="18" t="n">
        <x:f>IF(I39=1,M39-C39,"")</x:f>
        <x:v>2.218102590007817</x:v>
      </x:c>
      <x:c r="O39" s="18" t="n">
        <x:f>IF(I39=1,J39*D39/'校正統計'!$B$9,"")</x:f>
        <x:v>167.535016981529</x:v>
      </x:c>
      <x:c r="P39" s="18" t="n">
        <x:f>IF(I39=1,O39-C39,"")</x:f>
        <x:v>5.535016981528997</x:v>
      </x:c>
      <x:c r="Q39" s="18" t="n">
        <x:f>IF(I39=1,J39*(0.0013599938652549585*D39+0.014432794417975773)-C39,"")</x:f>
        <x:v>-2.3210993900928543</x:v>
      </x:c>
      <x:c r="R39" s="18" t="n">
        <x:f>IF(I39=1,J39*D39/697.7877515437722-C39,"")</x:f>
        <x:v>0.5136006602523935</x:v>
      </x:c>
      <x:c r="S39" s="18" t="n">
        <x:f>IF(I39=1,J39*L39,0)</x:f>
        <x:v>204.12</x:v>
      </x:c>
      <x:c r="T39" s="18" t="n">
        <x:f>IF(I39=1,L39^2,0)</x:f>
        <x:v>0.2916</x:v>
      </x:c>
      <x:c r="U39" s="16" t="n">
        <x:f>IF(I39=1,J39,"")</x:f>
        <x:v>378</x:v>
      </x:c>
      <x:c r="V39" s="3" t="str">
        <x:v>完整頭腳；納入</x:v>
      </x:c>
    </x:row>
    <x:row r="40" ht="26" customHeight="1">
      <x:c r="A40" s="3" t="str">
        <x:v>162_lai/300 (2).jpg</x:v>
      </x:c>
      <x:c r="B40" s="3" t="str">
        <x:v>162_lai</x:v>
      </x:c>
      <x:c r="C40" s="16" t="n">
        <x:v>162</x:v>
      </x:c>
      <x:c r="D40" s="16" t="n">
        <x:v>300</x:v>
      </x:c>
      <x:c r="E40" s="16" t="n">
        <x:v>544</x:v>
      </x:c>
      <x:c r="F40" s="16" t="n">
        <x:v>194</x:v>
      </x:c>
      <x:c r="G40" s="16" t="n">
        <x:v>672</x:v>
      </x:c>
      <x:c r="H40" s="16" t="n">
        <x:v>570</x:v>
      </x:c>
      <x:c r="I40" s="16" t="n">
        <x:v>1</x:v>
      </x:c>
      <x:c r="J40" s="16" t="n">
        <x:f>H40-F40+1</x:f>
        <x:v>377</x:v>
      </x:c>
      <x:c r="K40" s="17" t="n">
        <x:f>IF(I40=1,C40/J40,"")</x:f>
        <x:v>0.4297082228116711</x:v>
      </x:c>
      <x:c r="L40" s="17" t="n">
        <x:f>C40/D40</x:f>
        <x:v>0.54</x:v>
      </x:c>
      <x:c r="M40" s="18" t="n">
        <x:f>IF(I40=1,J40*('校正統計'!$B$7*D40+'校正統計'!$B$8),"")</x:f>
        <x:v>163.78366316516653</x:v>
      </x:c>
      <x:c r="N40" s="18" t="n">
        <x:f>IF(I40=1,M40-C40,"")</x:f>
        <x:v>1.78366316516653</x:v>
      </x:c>
      <x:c r="O40" s="18" t="n">
        <x:f>IF(I40=1,J40*D40/'校正統計'!$B$9,"")</x:f>
        <x:v>167.09180265089003</x:v>
      </x:c>
      <x:c r="P40" s="18" t="n">
        <x:f>IF(I40=1,O40-C40,"")</x:f>
        <x:v>5.091802650890031</x:v>
      </x:c>
      <x:c r="Q40" s="18" t="n">
        <x:f>IF(I40=1,J40*(0.0013599938652549585*D40+0.014432794417975773)-C40,"")</x:f>
        <x:v>-2.7435303440873327</x:v>
      </x:c>
      <x:c r="R40" s="18" t="n">
        <x:f>IF(I40=1,J40*D40/697.7877515437722-C40,"")</x:f>
        <x:v>0.0836704997755362</x:v>
      </x:c>
      <x:c r="S40" s="18" t="n">
        <x:f>IF(I40=1,J40*L40,0)</x:f>
        <x:v>203.58</x:v>
      </x:c>
      <x:c r="T40" s="18" t="n">
        <x:f>IF(I40=1,L40^2,0)</x:f>
        <x:v>0.2916</x:v>
      </x:c>
      <x:c r="U40" s="16" t="n">
        <x:f>IF(I40=1,J40,"")</x:f>
        <x:v>377</x:v>
      </x:c>
      <x:c r="V40" s="3" t="str">
        <x:v>完整頭腳；納入</x:v>
      </x:c>
    </x:row>
    <x:row r="41" ht="26" customHeight="1">
      <x:c r="A41" s="3" t="str">
        <x:v>162_lai/300 (3).jpg</x:v>
      </x:c>
      <x:c r="B41" s="3" t="str">
        <x:v>162_lai</x:v>
      </x:c>
      <x:c r="C41" s="16" t="n">
        <x:v>162</x:v>
      </x:c>
      <x:c r="D41" s="16" t="n">
        <x:v>300</x:v>
      </x:c>
      <x:c r="E41" s="16" t="n">
        <x:v>544</x:v>
      </x:c>
      <x:c r="F41" s="16" t="n">
        <x:v>192</x:v>
      </x:c>
      <x:c r="G41" s="16" t="n">
        <x:v>671</x:v>
      </x:c>
      <x:c r="H41" s="16" t="n">
        <x:v>569</x:v>
      </x:c>
      <x:c r="I41" s="16" t="n">
        <x:v>1</x:v>
      </x:c>
      <x:c r="J41" s="16" t="n">
        <x:f>H41-F41+1</x:f>
        <x:v>378</x:v>
      </x:c>
      <x:c r="K41" s="17" t="n">
        <x:f>IF(I41=1,C41/J41,"")</x:f>
        <x:v>0.42857142857142855</x:v>
      </x:c>
      <x:c r="L41" s="17" t="n">
        <x:f>C41/D41</x:f>
        <x:v>0.54</x:v>
      </x:c>
      <x:c r="M41" s="18" t="n">
        <x:f>IF(I41=1,J41*('校正統計'!$B$7*D41+'校正統計'!$B$8),"")</x:f>
        <x:v>164.21810259000782</x:v>
      </x:c>
      <x:c r="N41" s="18" t="n">
        <x:f>IF(I41=1,M41-C41,"")</x:f>
        <x:v>2.218102590007817</x:v>
      </x:c>
      <x:c r="O41" s="18" t="n">
        <x:f>IF(I41=1,J41*D41/'校正統計'!$B$9,"")</x:f>
        <x:v>167.535016981529</x:v>
      </x:c>
      <x:c r="P41" s="18" t="n">
        <x:f>IF(I41=1,O41-C41,"")</x:f>
        <x:v>5.535016981528997</x:v>
      </x:c>
      <x:c r="Q41" s="18" t="n">
        <x:f>IF(I41=1,J41*(0.0013599938652549585*D41+0.014432794417975773)-C41,"")</x:f>
        <x:v>-2.3210993900928543</x:v>
      </x:c>
      <x:c r="R41" s="18" t="n">
        <x:f>IF(I41=1,J41*D41/697.7877515437722-C41,"")</x:f>
        <x:v>0.5136006602523935</x:v>
      </x:c>
      <x:c r="S41" s="18" t="n">
        <x:f>IF(I41=1,J41*L41,0)</x:f>
        <x:v>204.12</x:v>
      </x:c>
      <x:c r="T41" s="18" t="n">
        <x:f>IF(I41=1,L41^2,0)</x:f>
        <x:v>0.2916</x:v>
      </x:c>
      <x:c r="U41" s="16" t="n">
        <x:f>IF(I41=1,J41,"")</x:f>
        <x:v>378</x:v>
      </x:c>
      <x:c r="V41" s="3" t="str">
        <x:v>完整頭腳；納入</x:v>
      </x:c>
    </x:row>
    <x:row r="42" ht="26" customHeight="1">
      <x:c r="A42" s="3" t="str">
        <x:v>162_lai/300 (4).jpg</x:v>
      </x:c>
      <x:c r="B42" s="3" t="str">
        <x:v>162_lai</x:v>
      </x:c>
      <x:c r="C42" s="16" t="n">
        <x:v>162</x:v>
      </x:c>
      <x:c r="D42" s="16" t="n">
        <x:v>300</x:v>
      </x:c>
      <x:c r="E42" s="16" t="n">
        <x:v>543</x:v>
      </x:c>
      <x:c r="F42" s="16" t="n">
        <x:v>192</x:v>
      </x:c>
      <x:c r="G42" s="16" t="n">
        <x:v>670</x:v>
      </x:c>
      <x:c r="H42" s="16" t="n">
        <x:v>569</x:v>
      </x:c>
      <x:c r="I42" s="16" t="n">
        <x:v>1</x:v>
      </x:c>
      <x:c r="J42" s="16" t="n">
        <x:f>H42-F42+1</x:f>
        <x:v>378</x:v>
      </x:c>
      <x:c r="K42" s="17" t="n">
        <x:f>IF(I42=1,C42/J42,"")</x:f>
        <x:v>0.42857142857142855</x:v>
      </x:c>
      <x:c r="L42" s="17" t="n">
        <x:f>C42/D42</x:f>
        <x:v>0.54</x:v>
      </x:c>
      <x:c r="M42" s="18" t="n">
        <x:f>IF(I42=1,J42*('校正統計'!$B$7*D42+'校正統計'!$B$8),"")</x:f>
        <x:v>164.21810259000782</x:v>
      </x:c>
      <x:c r="N42" s="18" t="n">
        <x:f>IF(I42=1,M42-C42,"")</x:f>
        <x:v>2.218102590007817</x:v>
      </x:c>
      <x:c r="O42" s="18" t="n">
        <x:f>IF(I42=1,J42*D42/'校正統計'!$B$9,"")</x:f>
        <x:v>167.535016981529</x:v>
      </x:c>
      <x:c r="P42" s="18" t="n">
        <x:f>IF(I42=1,O42-C42,"")</x:f>
        <x:v>5.535016981528997</x:v>
      </x:c>
      <x:c r="Q42" s="18" t="n">
        <x:f>IF(I42=1,J42*(0.0013599938652549585*D42+0.014432794417975773)-C42,"")</x:f>
        <x:v>-2.3210993900928543</x:v>
      </x:c>
      <x:c r="R42" s="18" t="n">
        <x:f>IF(I42=1,J42*D42/697.7877515437722-C42,"")</x:f>
        <x:v>0.5136006602523935</x:v>
      </x:c>
      <x:c r="S42" s="18" t="n">
        <x:f>IF(I42=1,J42*L42,0)</x:f>
        <x:v>204.12</x:v>
      </x:c>
      <x:c r="T42" s="18" t="n">
        <x:f>IF(I42=1,L42^2,0)</x:f>
        <x:v>0.2916</x:v>
      </x:c>
      <x:c r="U42" s="16" t="n">
        <x:f>IF(I42=1,J42,"")</x:f>
        <x:v>378</x:v>
      </x:c>
      <x:c r="V42" s="3" t="str">
        <x:v>完整頭腳；納入</x:v>
      </x:c>
    </x:row>
    <x:row r="43" ht="26" customHeight="1">
      <x:c r="A43" s="3" t="str">
        <x:v>162_lai/300 (5).jpg</x:v>
      </x:c>
      <x:c r="B43" s="3" t="str">
        <x:v>162_lai</x:v>
      </x:c>
      <x:c r="C43" s="16" t="n">
        <x:v>162</x:v>
      </x:c>
      <x:c r="D43" s="16" t="n">
        <x:v>300</x:v>
      </x:c>
      <x:c r="E43" s="16" t="n">
        <x:v>544</x:v>
      </x:c>
      <x:c r="F43" s="16" t="n">
        <x:v>192</x:v>
      </x:c>
      <x:c r="G43" s="16" t="n">
        <x:v>672</x:v>
      </x:c>
      <x:c r="H43" s="16" t="n">
        <x:v>568</x:v>
      </x:c>
      <x:c r="I43" s="16" t="n">
        <x:v>1</x:v>
      </x:c>
      <x:c r="J43" s="16" t="n">
        <x:f>H43-F43+1</x:f>
        <x:v>377</x:v>
      </x:c>
      <x:c r="K43" s="17" t="n">
        <x:f>IF(I43=1,C43/J43,"")</x:f>
        <x:v>0.4297082228116711</x:v>
      </x:c>
      <x:c r="L43" s="17" t="n">
        <x:f>C43/D43</x:f>
        <x:v>0.54</x:v>
      </x:c>
      <x:c r="M43" s="18" t="n">
        <x:f>IF(I43=1,J43*('校正統計'!$B$7*D43+'校正統計'!$B$8),"")</x:f>
        <x:v>163.78366316516653</x:v>
      </x:c>
      <x:c r="N43" s="18" t="n">
        <x:f>IF(I43=1,M43-C43,"")</x:f>
        <x:v>1.78366316516653</x:v>
      </x:c>
      <x:c r="O43" s="18" t="n">
        <x:f>IF(I43=1,J43*D43/'校正統計'!$B$9,"")</x:f>
        <x:v>167.09180265089003</x:v>
      </x:c>
      <x:c r="P43" s="18" t="n">
        <x:f>IF(I43=1,O43-C43,"")</x:f>
        <x:v>5.091802650890031</x:v>
      </x:c>
      <x:c r="Q43" s="18" t="n">
        <x:f>IF(I43=1,J43*(0.0013599938652549585*D43+0.014432794417975773)-C43,"")</x:f>
        <x:v>-2.7435303440873327</x:v>
      </x:c>
      <x:c r="R43" s="18" t="n">
        <x:f>IF(I43=1,J43*D43/697.7877515437722-C43,"")</x:f>
        <x:v>0.0836704997755362</x:v>
      </x:c>
      <x:c r="S43" s="18" t="n">
        <x:f>IF(I43=1,J43*L43,0)</x:f>
        <x:v>203.58</x:v>
      </x:c>
      <x:c r="T43" s="18" t="n">
        <x:f>IF(I43=1,L43^2,0)</x:f>
        <x:v>0.2916</x:v>
      </x:c>
      <x:c r="U43" s="16" t="n">
        <x:f>IF(I43=1,J43,"")</x:f>
        <x:v>377</x:v>
      </x:c>
      <x:c r="V43" s="3" t="str">
        <x:v>完整頭腳；納入</x:v>
      </x:c>
    </x:row>
    <x:row r="44" ht="26" customHeight="1">
      <x:c r="A44" s="3" t="str">
        <x:v>162_lai/300 (6).jpg</x:v>
      </x:c>
      <x:c r="B44" s="3" t="str">
        <x:v>162_lai</x:v>
      </x:c>
      <x:c r="C44" s="16" t="n">
        <x:v>162</x:v>
      </x:c>
      <x:c r="D44" s="16" t="n">
        <x:v>300</x:v>
      </x:c>
      <x:c r="E44" s="16" t="n">
        <x:v>545</x:v>
      </x:c>
      <x:c r="F44" s="16" t="n">
        <x:v>192</x:v>
      </x:c>
      <x:c r="G44" s="16" t="n">
        <x:v>672</x:v>
      </x:c>
      <x:c r="H44" s="16" t="n">
        <x:v>568</x:v>
      </x:c>
      <x:c r="I44" s="16" t="n">
        <x:v>1</x:v>
      </x:c>
      <x:c r="J44" s="16" t="n">
        <x:f>H44-F44+1</x:f>
        <x:v>377</x:v>
      </x:c>
      <x:c r="K44" s="17" t="n">
        <x:f>IF(I44=1,C44/J44,"")</x:f>
        <x:v>0.4297082228116711</x:v>
      </x:c>
      <x:c r="L44" s="17" t="n">
        <x:f>C44/D44</x:f>
        <x:v>0.54</x:v>
      </x:c>
      <x:c r="M44" s="18" t="n">
        <x:f>IF(I44=1,J44*('校正統計'!$B$7*D44+'校正統計'!$B$8),"")</x:f>
        <x:v>163.78366316516653</x:v>
      </x:c>
      <x:c r="N44" s="18" t="n">
        <x:f>IF(I44=1,M44-C44,"")</x:f>
        <x:v>1.78366316516653</x:v>
      </x:c>
      <x:c r="O44" s="18" t="n">
        <x:f>IF(I44=1,J44*D44/'校正統計'!$B$9,"")</x:f>
        <x:v>167.09180265089003</x:v>
      </x:c>
      <x:c r="P44" s="18" t="n">
        <x:f>IF(I44=1,O44-C44,"")</x:f>
        <x:v>5.091802650890031</x:v>
      </x:c>
      <x:c r="Q44" s="18" t="n">
        <x:f>IF(I44=1,J44*(0.0013599938652549585*D44+0.014432794417975773)-C44,"")</x:f>
        <x:v>-2.7435303440873327</x:v>
      </x:c>
      <x:c r="R44" s="18" t="n">
        <x:f>IF(I44=1,J44*D44/697.7877515437722-C44,"")</x:f>
        <x:v>0.0836704997755362</x:v>
      </x:c>
      <x:c r="S44" s="18" t="n">
        <x:f>IF(I44=1,J44*L44,0)</x:f>
        <x:v>203.58</x:v>
      </x:c>
      <x:c r="T44" s="18" t="n">
        <x:f>IF(I44=1,L44^2,0)</x:f>
        <x:v>0.2916</x:v>
      </x:c>
      <x:c r="U44" s="16" t="n">
        <x:f>IF(I44=1,J44,"")</x:f>
        <x:v>377</x:v>
      </x:c>
      <x:c r="V44" s="3" t="str">
        <x:v>完整頭腳；納入</x:v>
      </x:c>
    </x:row>
    <x:row r="45" ht="26" customHeight="1">
      <x:c r="A45" s="3" t="str">
        <x:v>170_yang/180 (1).jpg</x:v>
      </x:c>
      <x:c r="B45" s="3" t="str">
        <x:v>170_yang</x:v>
      </x:c>
      <x:c r="C45" s="16" t="n">
        <x:v>170</x:v>
      </x:c>
      <x:c r="D45" s="16" t="n">
        <x:v>180</x:v>
      </x:c>
      <x:c r="E45" s="16" t="n">
        <x:v>451</x:v>
      </x:c>
      <x:c r="F45" s="16" t="n">
        <x:v>65</x:v>
      </x:c>
      <x:c r="G45" s="16" t="n">
        <x:v>677</x:v>
      </x:c>
      <x:c r="H45" s="16" t="n">
        <x:v>691</x:v>
      </x:c>
      <x:c r="I45" s="16" t="n">
        <x:v>1</x:v>
      </x:c>
      <x:c r="J45" s="16" t="n">
        <x:f>H45-F45+1</x:f>
        <x:v>627</x:v>
      </x:c>
      <x:c r="K45" s="17" t="n">
        <x:f>IF(I45=1,C45/J45,"")</x:f>
        <x:v>0.2711323763955343</x:v>
      </x:c>
      <x:c r="L45" s="17" t="n">
        <x:f>C45/D45</x:f>
        <x:v>0.9444444444444444</x:v>
      </x:c>
      <x:c r="M45" s="18" t="n">
        <x:f>IF(I45=1,J45*('校正統計'!$B$7*D45+'校正統計'!$B$8),"")</x:f>
        <x:v>168.9696044527021</x:v>
      </x:c>
      <x:c r="N45" s="18" t="n">
        <x:f>IF(I45=1,M45-C45,"")</x:f>
        <x:v>-1.0303955472978998</x:v>
      </x:c>
      <x:c r="O45" s="18" t="n">
        <x:f>IF(I45=1,J45*D45/'校正統計'!$B$9,"")</x:f>
        <x:v>166.73723118637886</x:v>
      </x:c>
      <x:c r="P45" s="18" t="n">
        <x:f>IF(I45=1,O45-C45,"")</x:f>
        <x:v>-3.262768813621136</x:v>
      </x:c>
      <x:c r="Q45" s="18" t="n">
        <x:f>IF(I45=1,J45*(0.0013599938652549585*D45+0.014432794417975773)-C45,"")</x:f>
        <x:v>-7.461730267254552</x:v>
      </x:c>
      <x:c r="R45" s="18" t="n">
        <x:f>IF(I45=1,J45*D45/697.7877515437722-C45,"")</x:f>
        <x:v>-8.260273628605972</x:v>
      </x:c>
      <x:c r="S45" s="18" t="n">
        <x:f>IF(I45=1,J45*L45,0)</x:f>
        <x:v>592.1666666666666</x:v>
      </x:c>
      <x:c r="T45" s="18" t="n">
        <x:f>IF(I45=1,L45^2,0)</x:f>
        <x:v>0.8919753086419753</x:v>
      </x:c>
      <x:c r="U45" s="16" t="n">
        <x:f>IF(I45=1,J45,"")</x:f>
        <x:v>627</x:v>
      </x:c>
      <x:c r="V45" s="3" t="str">
        <x:v>完整頭腳；納入</x:v>
      </x:c>
    </x:row>
    <x:row r="46" ht="26" customHeight="1">
      <x:c r="A46" s="3" t="str">
        <x:v>170_yang/180 (2).jpg</x:v>
      </x:c>
      <x:c r="B46" s="3" t="str">
        <x:v>170_yang</x:v>
      </x:c>
      <x:c r="C46" s="16" t="n">
        <x:v>170</x:v>
      </x:c>
      <x:c r="D46" s="16" t="n">
        <x:v>180</x:v>
      </x:c>
      <x:c r="E46" s="16" t="n">
        <x:v>455</x:v>
      </x:c>
      <x:c r="F46" s="16" t="n">
        <x:v>61</x:v>
      </x:c>
      <x:c r="G46" s="16" t="n">
        <x:v>683</x:v>
      </x:c>
      <x:c r="H46" s="16" t="n">
        <x:v>689</x:v>
      </x:c>
      <x:c r="I46" s="16" t="n">
        <x:v>1</x:v>
      </x:c>
      <x:c r="J46" s="16" t="n">
        <x:f>H46-F46+1</x:f>
        <x:v>629</x:v>
      </x:c>
      <x:c r="K46" s="17" t="n">
        <x:f>IF(I46=1,C46/J46,"")</x:f>
        <x:v>0.2702702702702703</x:v>
      </x:c>
      <x:c r="L46" s="17" t="n">
        <x:f>C46/D46</x:f>
        <x:v>0.9444444444444444</x:v>
      </x:c>
      <x:c r="M46" s="18" t="n">
        <x:f>IF(I46=1,J46*('校正統計'!$B$7*D46+'校正統計'!$B$8),"")</x:f>
        <x:v>169.50858245733593</x:v>
      </x:c>
      <x:c r="N46" s="18" t="n">
        <x:f>IF(I46=1,M46-C46,"")</x:f>
        <x:v>-0.4914175426640668</x:v>
      </x:c>
      <x:c r="O46" s="18" t="n">
        <x:f>IF(I46=1,J46*D46/'校正統計'!$B$9,"")</x:f>
        <x:v>167.26908838314563</x:v>
      </x:c>
      <x:c r="P46" s="18" t="n">
        <x:f>IF(I46=1,O46-C46,"")</x:f>
        <x:v>-2.730911616854371</x:v>
      </x:c>
      <x:c r="Q46" s="18" t="n">
        <x:f>IF(I46=1,J46*(0.0013599938652549585*D46+0.014432794417975773)-C46,"")</x:f>
        <x:v>-6.9432668869268355</x:v>
      </x:c>
      <x:c r="R46" s="18" t="n">
        <x:f>IF(I46=1,J46*D46/697.7877515437722-C46,"")</x:f>
        <x:v>-7.744357436033738</x:v>
      </x:c>
      <x:c r="S46" s="18" t="n">
        <x:f>IF(I46=1,J46*L46,0)</x:f>
        <x:v>594.0555555555555</x:v>
      </x:c>
      <x:c r="T46" s="18" t="n">
        <x:f>IF(I46=1,L46^2,0)</x:f>
        <x:v>0.8919753086419753</x:v>
      </x:c>
      <x:c r="U46" s="16" t="n">
        <x:f>IF(I46=1,J46,"")</x:f>
        <x:v>629</x:v>
      </x:c>
      <x:c r="V46" s="3" t="str">
        <x:v>完整頭腳；納入</x:v>
      </x:c>
    </x:row>
    <x:row r="47" ht="26" customHeight="1">
      <x:c r="A47" s="3" t="str">
        <x:v>170_yang/180 (3).jpg</x:v>
      </x:c>
      <x:c r="B47" s="3" t="str">
        <x:v>170_yang</x:v>
      </x:c>
      <x:c r="C47" s="16" t="n">
        <x:v>170</x:v>
      </x:c>
      <x:c r="D47" s="16" t="n">
        <x:v>180</x:v>
      </x:c>
      <x:c r="E47" s="16" t="n">
        <x:v>454</x:v>
      </x:c>
      <x:c r="F47" s="16" t="n">
        <x:v>65</x:v>
      </x:c>
      <x:c r="G47" s="16" t="n">
        <x:v>683</x:v>
      </x:c>
      <x:c r="H47" s="16" t="n">
        <x:v>691</x:v>
      </x:c>
      <x:c r="I47" s="16" t="n">
        <x:v>1</x:v>
      </x:c>
      <x:c r="J47" s="16" t="n">
        <x:f>H47-F47+1</x:f>
        <x:v>627</x:v>
      </x:c>
      <x:c r="K47" s="17" t="n">
        <x:f>IF(I47=1,C47/J47,"")</x:f>
        <x:v>0.2711323763955343</x:v>
      </x:c>
      <x:c r="L47" s="17" t="n">
        <x:f>C47/D47</x:f>
        <x:v>0.9444444444444444</x:v>
      </x:c>
      <x:c r="M47" s="18" t="n">
        <x:f>IF(I47=1,J47*('校正統計'!$B$7*D47+'校正統計'!$B$8),"")</x:f>
        <x:v>168.9696044527021</x:v>
      </x:c>
      <x:c r="N47" s="18" t="n">
        <x:f>IF(I47=1,M47-C47,"")</x:f>
        <x:v>-1.0303955472978998</x:v>
      </x:c>
      <x:c r="O47" s="18" t="n">
        <x:f>IF(I47=1,J47*D47/'校正統計'!$B$9,"")</x:f>
        <x:v>166.73723118637886</x:v>
      </x:c>
      <x:c r="P47" s="18" t="n">
        <x:f>IF(I47=1,O47-C47,"")</x:f>
        <x:v>-3.262768813621136</x:v>
      </x:c>
      <x:c r="Q47" s="18" t="n">
        <x:f>IF(I47=1,J47*(0.0013599938652549585*D47+0.014432794417975773)-C47,"")</x:f>
        <x:v>-7.461730267254552</x:v>
      </x:c>
      <x:c r="R47" s="18" t="n">
        <x:f>IF(I47=1,J47*D47/697.7877515437722-C47,"")</x:f>
        <x:v>-8.260273628605972</x:v>
      </x:c>
      <x:c r="S47" s="18" t="n">
        <x:f>IF(I47=1,J47*L47,0)</x:f>
        <x:v>592.1666666666666</x:v>
      </x:c>
      <x:c r="T47" s="18" t="n">
        <x:f>IF(I47=1,L47^2,0)</x:f>
        <x:v>0.8919753086419753</x:v>
      </x:c>
      <x:c r="U47" s="16" t="n">
        <x:f>IF(I47=1,J47,"")</x:f>
        <x:v>627</x:v>
      </x:c>
      <x:c r="V47" s="3" t="str">
        <x:v>完整頭腳；納入</x:v>
      </x:c>
    </x:row>
    <x:row r="48" ht="26" customHeight="1">
      <x:c r="A48" s="3" t="str">
        <x:v>170_yang/180 (4).jpg</x:v>
      </x:c>
      <x:c r="B48" s="3" t="str">
        <x:v>170_yang</x:v>
      </x:c>
      <x:c r="C48" s="16" t="n">
        <x:v>170</x:v>
      </x:c>
      <x:c r="D48" s="16" t="n">
        <x:v>180</x:v>
      </x:c>
      <x:c r="E48" s="16" t="n">
        <x:v>460</x:v>
      </x:c>
      <x:c r="F48" s="16" t="n">
        <x:v>67</x:v>
      </x:c>
      <x:c r="G48" s="16" t="n">
        <x:v>684</x:v>
      </x:c>
      <x:c r="H48" s="16" t="n">
        <x:v>692</x:v>
      </x:c>
      <x:c r="I48" s="16" t="n">
        <x:v>1</x:v>
      </x:c>
      <x:c r="J48" s="16" t="n">
        <x:f>H48-F48+1</x:f>
        <x:v>626</x:v>
      </x:c>
      <x:c r="K48" s="17" t="n">
        <x:f>IF(I48=1,C48/J48,"")</x:f>
        <x:v>0.2715654952076677</x:v>
      </x:c>
      <x:c r="L48" s="17" t="n">
        <x:f>C48/D48</x:f>
        <x:v>0.9444444444444444</x:v>
      </x:c>
      <x:c r="M48" s="18" t="n">
        <x:f>IF(I48=1,J48*('校正統計'!$B$7*D48+'校正統計'!$B$8),"")</x:f>
        <x:v>168.7001154503852</x:v>
      </x:c>
      <x:c r="N48" s="18" t="n">
        <x:f>IF(I48=1,M48-C48,"")</x:f>
        <x:v>-1.2998845496148022</x:v>
      </x:c>
      <x:c r="O48" s="18" t="n">
        <x:f>IF(I48=1,J48*D48/'校正統計'!$B$9,"")</x:f>
        <x:v>166.4713025879955</x:v>
      </x:c>
      <x:c r="P48" s="18" t="n">
        <x:f>IF(I48=1,O48-C48,"")</x:f>
        <x:v>-3.5286974120045045</x:v>
      </x:c>
      <x:c r="Q48" s="18" t="n">
        <x:f>IF(I48=1,J48*(0.0013599938652549585*D48+0.014432794417975773)-C48,"")</x:f>
        <x:v>-7.720961957418439</x:v>
      </x:c>
      <x:c r="R48" s="18" t="n">
        <x:f>IF(I48=1,J48*D48/697.7877515437722-C48,"")</x:f>
        <x:v>-8.518231724892075</x:v>
      </x:c>
      <x:c r="S48" s="18" t="n">
        <x:f>IF(I48=1,J48*L48,0)</x:f>
        <x:v>591.2222222222222</x:v>
      </x:c>
      <x:c r="T48" s="18" t="n">
        <x:f>IF(I48=1,L48^2,0)</x:f>
        <x:v>0.8919753086419753</x:v>
      </x:c>
      <x:c r="U48" s="16" t="n">
        <x:f>IF(I48=1,J48,"")</x:f>
        <x:v>626</x:v>
      </x:c>
      <x:c r="V48" s="3" t="str">
        <x:v>完整頭腳；納入</x:v>
      </x:c>
    </x:row>
    <x:row r="49" ht="26" customHeight="1">
      <x:c r="A49" s="3" t="str">
        <x:v>170_yang/180 (5).jpg</x:v>
      </x:c>
      <x:c r="B49" s="3" t="str">
        <x:v>170_yang</x:v>
      </x:c>
      <x:c r="C49" s="16" t="n">
        <x:v>170</x:v>
      </x:c>
      <x:c r="D49" s="16" t="n">
        <x:v>180</x:v>
      </x:c>
      <x:c r="E49" s="16" t="n">
        <x:v>458</x:v>
      </x:c>
      <x:c r="F49" s="16" t="n">
        <x:v>68</x:v>
      </x:c>
      <x:c r="G49" s="16" t="n">
        <x:v>683</x:v>
      </x:c>
      <x:c r="H49" s="16" t="n">
        <x:v>691</x:v>
      </x:c>
      <x:c r="I49" s="16" t="n">
        <x:v>1</x:v>
      </x:c>
      <x:c r="J49" s="16" t="n">
        <x:f>H49-F49+1</x:f>
        <x:v>624</x:v>
      </x:c>
      <x:c r="K49" s="17" t="n">
        <x:f>IF(I49=1,C49/J49,"")</x:f>
        <x:v>0.2724358974358974</x:v>
      </x:c>
      <x:c r="L49" s="17" t="n">
        <x:f>C49/D49</x:f>
        <x:v>0.9444444444444444</x:v>
      </x:c>
      <x:c r="M49" s="18" t="n">
        <x:f>IF(I49=1,J49*('校正統計'!$B$7*D49+'校正統計'!$B$8),"")</x:f>
        <x:v>168.16113744575136</x:v>
      </x:c>
      <x:c r="N49" s="18" t="n">
        <x:f>IF(I49=1,M49-C49,"")</x:f>
        <x:v>-1.8388625542486352</x:v>
      </x:c>
      <x:c r="O49" s="18" t="n">
        <x:f>IF(I49=1,J49*D49/'校正統計'!$B$9,"")</x:f>
        <x:v>165.93944539122873</x:v>
      </x:c>
      <x:c r="P49" s="18" t="n">
        <x:f>IF(I49=1,O49-C49,"")</x:f>
        <x:v>-4.06055460877127</x:v>
      </x:c>
      <x:c r="Q49" s="18" t="n">
        <x:f>IF(I49=1,J49*(0.0013599938652549585*D49+0.014432794417975773)-C49,"")</x:f>
        <x:v>-8.239425337746155</x:v>
      </x:c>
      <x:c r="R49" s="18" t="n">
        <x:f>IF(I49=1,J49*D49/697.7877515437722-C49,"")</x:f>
        <x:v>-9.03414791746431</x:v>
      </x:c>
      <x:c r="S49" s="18" t="n">
        <x:f>IF(I49=1,J49*L49,0)</x:f>
        <x:v>589.3333333333334</x:v>
      </x:c>
      <x:c r="T49" s="18" t="n">
        <x:f>IF(I49=1,L49^2,0)</x:f>
        <x:v>0.8919753086419753</x:v>
      </x:c>
      <x:c r="U49" s="16" t="n">
        <x:f>IF(I49=1,J49,"")</x:f>
        <x:v>624</x:v>
      </x:c>
      <x:c r="V49" s="3" t="str">
        <x:v>完整頭腳；納入</x:v>
      </x:c>
    </x:row>
    <x:row r="50" ht="26" customHeight="1">
      <x:c r="A50" s="3" t="str">
        <x:v>170_yang/180 (6).jpg</x:v>
      </x:c>
      <x:c r="B50" s="3" t="str">
        <x:v>170_yang</x:v>
      </x:c>
      <x:c r="C50" s="16" t="n">
        <x:v>170</x:v>
      </x:c>
      <x:c r="D50" s="16" t="n">
        <x:v>180</x:v>
      </x:c>
      <x:c r="E50" s="16" t="n">
        <x:v>453</x:v>
      </x:c>
      <x:c r="F50" s="16" t="n">
        <x:v>67</x:v>
      </x:c>
      <x:c r="G50" s="16" t="n">
        <x:v>680</x:v>
      </x:c>
      <x:c r="H50" s="16" t="n">
        <x:v>692</x:v>
      </x:c>
      <x:c r="I50" s="16" t="n">
        <x:v>1</x:v>
      </x:c>
      <x:c r="J50" s="16" t="n">
        <x:f>H50-F50+1</x:f>
        <x:v>626</x:v>
      </x:c>
      <x:c r="K50" s="17" t="n">
        <x:f>IF(I50=1,C50/J50,"")</x:f>
        <x:v>0.2715654952076677</x:v>
      </x:c>
      <x:c r="L50" s="17" t="n">
        <x:f>C50/D50</x:f>
        <x:v>0.9444444444444444</x:v>
      </x:c>
      <x:c r="M50" s="18" t="n">
        <x:f>IF(I50=1,J50*('校正統計'!$B$7*D50+'校正統計'!$B$8),"")</x:f>
        <x:v>168.7001154503852</x:v>
      </x:c>
      <x:c r="N50" s="18" t="n">
        <x:f>IF(I50=1,M50-C50,"")</x:f>
        <x:v>-1.2998845496148022</x:v>
      </x:c>
      <x:c r="O50" s="18" t="n">
        <x:f>IF(I50=1,J50*D50/'校正統計'!$B$9,"")</x:f>
        <x:v>166.4713025879955</x:v>
      </x:c>
      <x:c r="P50" s="18" t="n">
        <x:f>IF(I50=1,O50-C50,"")</x:f>
        <x:v>-3.5286974120045045</x:v>
      </x:c>
      <x:c r="Q50" s="18" t="n">
        <x:f>IF(I50=1,J50*(0.0013599938652549585*D50+0.014432794417975773)-C50,"")</x:f>
        <x:v>-7.720961957418439</x:v>
      </x:c>
      <x:c r="R50" s="18" t="n">
        <x:f>IF(I50=1,J50*D50/697.7877515437722-C50,"")</x:f>
        <x:v>-8.518231724892075</x:v>
      </x:c>
      <x:c r="S50" s="18" t="n">
        <x:f>IF(I50=1,J50*L50,0)</x:f>
        <x:v>591.2222222222222</x:v>
      </x:c>
      <x:c r="T50" s="18" t="n">
        <x:f>IF(I50=1,L50^2,0)</x:f>
        <x:v>0.8919753086419753</x:v>
      </x:c>
      <x:c r="U50" s="16" t="n">
        <x:f>IF(I50=1,J50,"")</x:f>
        <x:v>626</x:v>
      </x:c>
      <x:c r="V50" s="3" t="str">
        <x:v>完整頭腳；納入</x:v>
      </x:c>
    </x:row>
    <x:row r="51" ht="26" customHeight="1">
      <x:c r="A51" s="3" t="str">
        <x:v>170_yang/200 (1).jpg</x:v>
      </x:c>
      <x:c r="B51" s="3" t="str">
        <x:v>170_yang</x:v>
      </x:c>
      <x:c r="C51" s="16" t="n">
        <x:v>170</x:v>
      </x:c>
      <x:c r="D51" s="16" t="n">
        <x:v>200</x:v>
      </x:c>
      <x:c r="E51" s="16" t="n">
        <x:v>531</x:v>
      </x:c>
      <x:c r="F51" s="16" t="n">
        <x:v>101</x:v>
      </x:c>
      <x:c r="G51" s="16" t="n">
        <x:v>721</x:v>
      </x:c>
      <x:c r="H51" s="16" t="n">
        <x:v>665</x:v>
      </x:c>
      <x:c r="I51" s="16" t="n">
        <x:v>1</x:v>
      </x:c>
      <x:c r="J51" s="16" t="n">
        <x:f>H51-F51+1</x:f>
        <x:v>565</x:v>
      </x:c>
      <x:c r="K51" s="17" t="n">
        <x:f>IF(I51=1,C51/J51,"")</x:f>
        <x:v>0.3008849557522124</x:v>
      </x:c>
      <x:c r="L51" s="17" t="n">
        <x:f>C51/D51</x:f>
        <x:v>0.85</x:v>
      </x:c>
      <x:c r="M51" s="18" t="n">
        <x:f>IF(I51=1,J51*('校正統計'!$B$7*D51+'校正統計'!$B$8),"")</x:f>
        <x:v>167.79411776343298</x:v>
      </x:c>
      <x:c r="N51" s="18" t="n">
        <x:f>IF(I51=1,M51-C51,"")</x:f>
        <x:v>-2.205882236567021</x:v>
      </x:c>
      <x:c r="O51" s="18" t="n">
        <x:f>IF(I51=1,J51*D51/'校正統計'!$B$9,"")</x:f>
        <x:v>166.94406454067706</x:v>
      </x:c>
      <x:c r="P51" s="18" t="n">
        <x:f>IF(I51=1,O51-C51,"")</x:f>
        <x:v>-3.0559354593229386</x:v>
      </x:c>
      <x:c r="Q51" s="18" t="n">
        <x:f>IF(I51=1,J51*(0.0013599938652549585*D51+0.014432794417975773)-C51,"")</x:f>
        <x:v>-8.166164380033365</x:v>
      </x:c>
      <x:c r="R51" s="18" t="n">
        <x:f>IF(I51=1,J51*D51/697.7877515437722-C51,"")</x:f>
        <x:v>-8.05963955371675</x:v>
      </x:c>
      <x:c r="S51" s="18" t="n">
        <x:f>IF(I51=1,J51*L51,0)</x:f>
        <x:v>480.25</x:v>
      </x:c>
      <x:c r="T51" s="18" t="n">
        <x:f>IF(I51=1,L51^2,0)</x:f>
        <x:v>0.7224999999999999</x:v>
      </x:c>
      <x:c r="U51" s="16" t="n">
        <x:f>IF(I51=1,J51,"")</x:f>
        <x:v>565</x:v>
      </x:c>
      <x:c r="V51" s="3" t="str">
        <x:v>完整頭腳；納入</x:v>
      </x:c>
    </x:row>
    <x:row r="52" ht="26" customHeight="1">
      <x:c r="A52" s="3" t="str">
        <x:v>170_yang/200 (2).jpg</x:v>
      </x:c>
      <x:c r="B52" s="3" t="str">
        <x:v>170_yang</x:v>
      </x:c>
      <x:c r="C52" s="16" t="n">
        <x:v>170</x:v>
      </x:c>
      <x:c r="D52" s="16" t="n">
        <x:v>200</x:v>
      </x:c>
      <x:c r="E52" s="16" t="n">
        <x:v>533</x:v>
      </x:c>
      <x:c r="F52" s="16" t="n">
        <x:v>93</x:v>
      </x:c>
      <x:c r="G52" s="16" t="n">
        <x:v>722</x:v>
      </x:c>
      <x:c r="H52" s="16" t="n">
        <x:v>657</x:v>
      </x:c>
      <x:c r="I52" s="16" t="n">
        <x:v>1</x:v>
      </x:c>
      <x:c r="J52" s="16" t="n">
        <x:f>H52-F52+1</x:f>
        <x:v>565</x:v>
      </x:c>
      <x:c r="K52" s="17" t="n">
        <x:f>IF(I52=1,C52/J52,"")</x:f>
        <x:v>0.3008849557522124</x:v>
      </x:c>
      <x:c r="L52" s="17" t="n">
        <x:f>C52/D52</x:f>
        <x:v>0.85</x:v>
      </x:c>
      <x:c r="M52" s="18" t="n">
        <x:f>IF(I52=1,J52*('校正統計'!$B$7*D52+'校正統計'!$B$8),"")</x:f>
        <x:v>167.79411776343298</x:v>
      </x:c>
      <x:c r="N52" s="18" t="n">
        <x:f>IF(I52=1,M52-C52,"")</x:f>
        <x:v>-2.205882236567021</x:v>
      </x:c>
      <x:c r="O52" s="18" t="n">
        <x:f>IF(I52=1,J52*D52/'校正統計'!$B$9,"")</x:f>
        <x:v>166.94406454067706</x:v>
      </x:c>
      <x:c r="P52" s="18" t="n">
        <x:f>IF(I52=1,O52-C52,"")</x:f>
        <x:v>-3.0559354593229386</x:v>
      </x:c>
      <x:c r="Q52" s="18" t="n">
        <x:f>IF(I52=1,J52*(0.0013599938652549585*D52+0.014432794417975773)-C52,"")</x:f>
        <x:v>-8.166164380033365</x:v>
      </x:c>
      <x:c r="R52" s="18" t="n">
        <x:f>IF(I52=1,J52*D52/697.7877515437722-C52,"")</x:f>
        <x:v>-8.05963955371675</x:v>
      </x:c>
      <x:c r="S52" s="18" t="n">
        <x:f>IF(I52=1,J52*L52,0)</x:f>
        <x:v>480.25</x:v>
      </x:c>
      <x:c r="T52" s="18" t="n">
        <x:f>IF(I52=1,L52^2,0)</x:f>
        <x:v>0.7224999999999999</x:v>
      </x:c>
      <x:c r="U52" s="16" t="n">
        <x:f>IF(I52=1,J52,"")</x:f>
        <x:v>565</x:v>
      </x:c>
      <x:c r="V52" s="3" t="str">
        <x:v>完整頭腳；納入</x:v>
      </x:c>
    </x:row>
    <x:row r="53" ht="26" customHeight="1">
      <x:c r="A53" s="3" t="str">
        <x:v>170_yang/200 (3).jpg</x:v>
      </x:c>
      <x:c r="B53" s="3" t="str">
        <x:v>170_yang</x:v>
      </x:c>
      <x:c r="C53" s="16" t="n">
        <x:v>170</x:v>
      </x:c>
      <x:c r="D53" s="16" t="n">
        <x:v>200</x:v>
      </x:c>
      <x:c r="E53" s="16" t="n">
        <x:v>530</x:v>
      </x:c>
      <x:c r="F53" s="16" t="n">
        <x:v>95</x:v>
      </x:c>
      <x:c r="G53" s="16" t="n">
        <x:v>722</x:v>
      </x:c>
      <x:c r="H53" s="16" t="n">
        <x:v>660</x:v>
      </x:c>
      <x:c r="I53" s="16" t="n">
        <x:v>1</x:v>
      </x:c>
      <x:c r="J53" s="16" t="n">
        <x:f>H53-F53+1</x:f>
        <x:v>566</x:v>
      </x:c>
      <x:c r="K53" s="17" t="n">
        <x:f>IF(I53=1,C53/J53,"")</x:f>
        <x:v>0.3003533568904594</x:v>
      </x:c>
      <x:c r="L53" s="17" t="n">
        <x:f>C53/D53</x:f>
        <x:v>0.85</x:v>
      </x:c>
      <x:c r="M53" s="18" t="n">
        <x:f>IF(I53=1,J53*('校正統計'!$B$7*D53+'校正統計'!$B$8),"")</x:f>
        <x:v>168.09109850283727</x:v>
      </x:c>
      <x:c r="N53" s="18" t="n">
        <x:f>IF(I53=1,M53-C53,"")</x:f>
        <x:v>-1.9089014971627307</x:v>
      </x:c>
      <x:c r="O53" s="18" t="n">
        <x:f>IF(I53=1,J53*D53/'校正統計'!$B$9,"")</x:f>
        <x:v>167.23954076110303</x:v>
      </x:c>
      <x:c r="P53" s="18" t="n">
        <x:f>IF(I53=1,O53-C53,"")</x:f>
        <x:v>-2.7604592388969706</x:v>
      </x:c>
      <x:c r="Q53" s="18" t="n">
        <x:f>IF(I53=1,J53*(0.0013599938652549585*D53+0.014432794417975773)-C53,"")</x:f>
        <x:v>-7.879732812564413</x:v>
      </x:c>
      <x:c r="R53" s="18" t="n">
        <x:f>IF(I53=1,J53*D53/697.7877515437722-C53,"")</x:f>
        <x:v>-7.773019446732178</x:v>
      </x:c>
      <x:c r="S53" s="18" t="n">
        <x:f>IF(I53=1,J53*L53,0)</x:f>
        <x:v>481.09999999999997</x:v>
      </x:c>
      <x:c r="T53" s="18" t="n">
        <x:f>IF(I53=1,L53^2,0)</x:f>
        <x:v>0.7224999999999999</x:v>
      </x:c>
      <x:c r="U53" s="16" t="n">
        <x:f>IF(I53=1,J53,"")</x:f>
        <x:v>566</x:v>
      </x:c>
      <x:c r="V53" s="3" t="str">
        <x:v>完整頭腳；納入</x:v>
      </x:c>
    </x:row>
    <x:row r="54" ht="26" customHeight="1">
      <x:c r="A54" s="3" t="str">
        <x:v>170_yang/200 (4).jpg</x:v>
      </x:c>
      <x:c r="B54" s="3" t="str">
        <x:v>170_yang</x:v>
      </x:c>
      <x:c r="C54" s="16" t="n">
        <x:v>170</x:v>
      </x:c>
      <x:c r="D54" s="16" t="n">
        <x:v>200</x:v>
      </x:c>
      <x:c r="E54" s="16" t="n">
        <x:v>527</x:v>
      </x:c>
      <x:c r="F54" s="16" t="n">
        <x:v>93</x:v>
      </x:c>
      <x:c r="G54" s="16" t="n">
        <x:v>723</x:v>
      </x:c>
      <x:c r="H54" s="16" t="n">
        <x:v>659</x:v>
      </x:c>
      <x:c r="I54" s="16" t="n">
        <x:v>1</x:v>
      </x:c>
      <x:c r="J54" s="16" t="n">
        <x:f>H54-F54+1</x:f>
        <x:v>567</x:v>
      </x:c>
      <x:c r="K54" s="17" t="n">
        <x:f>IF(I54=1,C54/J54,"")</x:f>
        <x:v>0.2998236331569665</x:v>
      </x:c>
      <x:c r="L54" s="17" t="n">
        <x:f>C54/D54</x:f>
        <x:v>0.85</x:v>
      </x:c>
      <x:c r="M54" s="18" t="n">
        <x:f>IF(I54=1,J54*('校正統計'!$B$7*D54+'校正統計'!$B$8),"")</x:f>
        <x:v>168.3880792422416</x:v>
      </x:c>
      <x:c r="N54" s="18" t="n">
        <x:f>IF(I54=1,M54-C54,"")</x:f>
        <x:v>-1.611920757758412</x:v>
      </x:c>
      <x:c r="O54" s="18" t="n">
        <x:f>IF(I54=1,J54*D54/'校正統計'!$B$9,"")</x:f>
        <x:v>167.535016981529</x:v>
      </x:c>
      <x:c r="P54" s="18" t="n">
        <x:f>IF(I54=1,O54-C54,"")</x:f>
        <x:v>-2.4649830184710027</x:v>
      </x:c>
      <x:c r="Q54" s="18" t="n">
        <x:f>IF(I54=1,J54*(0.0013599938652549585*D54+0.014432794417975773)-C54,"")</x:f>
        <x:v>-7.593301245095432</x:v>
      </x:c>
      <x:c r="R54" s="18" t="n">
        <x:f>IF(I54=1,J54*D54/697.7877515437722-C54,"")</x:f>
        <x:v>-7.4863993397476065</x:v>
      </x:c>
      <x:c r="S54" s="18" t="n">
        <x:f>IF(I54=1,J54*L54,0)</x:f>
        <x:v>481.95</x:v>
      </x:c>
      <x:c r="T54" s="18" t="n">
        <x:f>IF(I54=1,L54^2,0)</x:f>
        <x:v>0.7224999999999999</x:v>
      </x:c>
      <x:c r="U54" s="16" t="n">
        <x:f>IF(I54=1,J54,"")</x:f>
        <x:v>567</x:v>
      </x:c>
      <x:c r="V54" s="3" t="str">
        <x:v>完整頭腳；納入</x:v>
      </x:c>
    </x:row>
    <x:row r="55" ht="26" customHeight="1">
      <x:c r="A55" s="3" t="str">
        <x:v>170_yang/200 (5).jpg</x:v>
      </x:c>
      <x:c r="B55" s="3" t="str">
        <x:v>170_yang</x:v>
      </x:c>
      <x:c r="C55" s="16" t="n">
        <x:v>170</x:v>
      </x:c>
      <x:c r="D55" s="16" t="n">
        <x:v>200</x:v>
      </x:c>
      <x:c r="E55" s="16" t="n">
        <x:v>524</x:v>
      </x:c>
      <x:c r="F55" s="16" t="n">
        <x:v>93</x:v>
      </x:c>
      <x:c r="G55" s="16" t="n">
        <x:v>721</x:v>
      </x:c>
      <x:c r="H55" s="16" t="n">
        <x:v>658</x:v>
      </x:c>
      <x:c r="I55" s="16" t="n">
        <x:v>1</x:v>
      </x:c>
      <x:c r="J55" s="16" t="n">
        <x:f>H55-F55+1</x:f>
        <x:v>566</x:v>
      </x:c>
      <x:c r="K55" s="17" t="n">
        <x:f>IF(I55=1,C55/J55,"")</x:f>
        <x:v>0.3003533568904594</x:v>
      </x:c>
      <x:c r="L55" s="17" t="n">
        <x:f>C55/D55</x:f>
        <x:v>0.85</x:v>
      </x:c>
      <x:c r="M55" s="18" t="n">
        <x:f>IF(I55=1,J55*('校正統計'!$B$7*D55+'校正統計'!$B$8),"")</x:f>
        <x:v>168.09109850283727</x:v>
      </x:c>
      <x:c r="N55" s="18" t="n">
        <x:f>IF(I55=1,M55-C55,"")</x:f>
        <x:v>-1.9089014971627307</x:v>
      </x:c>
      <x:c r="O55" s="18" t="n">
        <x:f>IF(I55=1,J55*D55/'校正統計'!$B$9,"")</x:f>
        <x:v>167.23954076110303</x:v>
      </x:c>
      <x:c r="P55" s="18" t="n">
        <x:f>IF(I55=1,O55-C55,"")</x:f>
        <x:v>-2.7604592388969706</x:v>
      </x:c>
      <x:c r="Q55" s="18" t="n">
        <x:f>IF(I55=1,J55*(0.0013599938652549585*D55+0.014432794417975773)-C55,"")</x:f>
        <x:v>-7.879732812564413</x:v>
      </x:c>
      <x:c r="R55" s="18" t="n">
        <x:f>IF(I55=1,J55*D55/697.7877515437722-C55,"")</x:f>
        <x:v>-7.773019446732178</x:v>
      </x:c>
      <x:c r="S55" s="18" t="n">
        <x:f>IF(I55=1,J55*L55,0)</x:f>
        <x:v>481.09999999999997</x:v>
      </x:c>
      <x:c r="T55" s="18" t="n">
        <x:f>IF(I55=1,L55^2,0)</x:f>
        <x:v>0.7224999999999999</x:v>
      </x:c>
      <x:c r="U55" s="16" t="n">
        <x:f>IF(I55=1,J55,"")</x:f>
        <x:v>566</x:v>
      </x:c>
      <x:c r="V55" s="3" t="str">
        <x:v>完整頭腳；納入</x:v>
      </x:c>
    </x:row>
    <x:row r="56" ht="26" customHeight="1">
      <x:c r="A56" s="3" t="str">
        <x:v>170_yang/200 (6).jpg</x:v>
      </x:c>
      <x:c r="B56" s="3" t="str">
        <x:v>170_yang</x:v>
      </x:c>
      <x:c r="C56" s="16" t="n">
        <x:v>170</x:v>
      </x:c>
      <x:c r="D56" s="16" t="n">
        <x:v>200</x:v>
      </x:c>
      <x:c r="E56" s="16" t="n">
        <x:v>529</x:v>
      </x:c>
      <x:c r="F56" s="16" t="n">
        <x:v>93</x:v>
      </x:c>
      <x:c r="G56" s="16" t="n">
        <x:v>721</x:v>
      </x:c>
      <x:c r="H56" s="16" t="n">
        <x:v>659</x:v>
      </x:c>
      <x:c r="I56" s="16" t="n">
        <x:v>1</x:v>
      </x:c>
      <x:c r="J56" s="16" t="n">
        <x:f>H56-F56+1</x:f>
        <x:v>567</x:v>
      </x:c>
      <x:c r="K56" s="17" t="n">
        <x:f>IF(I56=1,C56/J56,"")</x:f>
        <x:v>0.2998236331569665</x:v>
      </x:c>
      <x:c r="L56" s="17" t="n">
        <x:f>C56/D56</x:f>
        <x:v>0.85</x:v>
      </x:c>
      <x:c r="M56" s="18" t="n">
        <x:f>IF(I56=1,J56*('校正統計'!$B$7*D56+'校正統計'!$B$8),"")</x:f>
        <x:v>168.3880792422416</x:v>
      </x:c>
      <x:c r="N56" s="18" t="n">
        <x:f>IF(I56=1,M56-C56,"")</x:f>
        <x:v>-1.611920757758412</x:v>
      </x:c>
      <x:c r="O56" s="18" t="n">
        <x:f>IF(I56=1,J56*D56/'校正統計'!$B$9,"")</x:f>
        <x:v>167.535016981529</x:v>
      </x:c>
      <x:c r="P56" s="18" t="n">
        <x:f>IF(I56=1,O56-C56,"")</x:f>
        <x:v>-2.4649830184710027</x:v>
      </x:c>
      <x:c r="Q56" s="18" t="n">
        <x:f>IF(I56=1,J56*(0.0013599938652549585*D56+0.014432794417975773)-C56,"")</x:f>
        <x:v>-7.593301245095432</x:v>
      </x:c>
      <x:c r="R56" s="18" t="n">
        <x:f>IF(I56=1,J56*D56/697.7877515437722-C56,"")</x:f>
        <x:v>-7.4863993397476065</x:v>
      </x:c>
      <x:c r="S56" s="18" t="n">
        <x:f>IF(I56=1,J56*L56,0)</x:f>
        <x:v>481.95</x:v>
      </x:c>
      <x:c r="T56" s="18" t="n">
        <x:f>IF(I56=1,L56^2,0)</x:f>
        <x:v>0.7224999999999999</x:v>
      </x:c>
      <x:c r="U56" s="16" t="n">
        <x:f>IF(I56=1,J56,"")</x:f>
        <x:v>567</x:v>
      </x:c>
      <x:c r="V56" s="3" t="str">
        <x:v>完整頭腳；納入</x:v>
      </x:c>
    </x:row>
    <x:row r="57" ht="26" customHeight="1">
      <x:c r="A57" s="3" t="str">
        <x:v>170_yang/220 (1).jpg</x:v>
      </x:c>
      <x:c r="B57" s="3" t="str">
        <x:v>170_yang</x:v>
      </x:c>
      <x:c r="C57" s="16" t="n">
        <x:v>170</x:v>
      </x:c>
      <x:c r="D57" s="16" t="n">
        <x:v>220</x:v>
      </x:c>
      <x:c r="E57" s="16" t="n">
        <x:v>541</x:v>
      </x:c>
      <x:c r="F57" s="16" t="n">
        <x:v>128</x:v>
      </x:c>
      <x:c r="G57" s="16" t="n">
        <x:v>705</x:v>
      </x:c>
      <x:c r="H57" s="16" t="n">
        <x:v>644</x:v>
      </x:c>
      <x:c r="I57" s="16" t="n">
        <x:v>1</x:v>
      </x:c>
      <x:c r="J57" s="16" t="n">
        <x:f>H57-F57+1</x:f>
        <x:v>517</x:v>
      </x:c>
      <x:c r="K57" s="17" t="n">
        <x:f>IF(I57=1,C57/J57,"")</x:f>
        <x:v>0.3288201160541586</x:v>
      </x:c>
      <x:c r="L57" s="17" t="n">
        <x:f>C57/D57</x:f>
        <x:v>0.7727272727272727</x:v>
      </x:c>
      <x:c r="M57" s="18" t="n">
        <x:f>IF(I57=1,J57*('校正統計'!$B$7*D57+'校正統計'!$B$8),"")</x:f>
        <x:v>167.75227034621042</x:v>
      </x:c>
      <x:c r="N57" s="18" t="n">
        <x:f>IF(I57=1,M57-C57,"")</x:f>
        <x:v>-2.247729653789577</x:v>
      </x:c>
      <x:c r="O57" s="18" t="n">
        <x:f>IF(I57=1,J57*D57/'校正統計'!$B$9,"")</x:f>
        <x:v>168.03732655625316</x:v>
      </x:c>
      <x:c r="P57" s="18" t="n">
        <x:f>IF(I57=1,O57-C57,"")</x:f>
        <x:v>-1.9626734437468372</x:v>
      </x:c>
      <x:c r="Q57" s="18" t="n">
        <x:f>IF(I57=1,J57*(0.0013599938652549585*D57+0.014432794417975773)-C57,"")</x:f>
        <x:v>-7.852543051807515</x:v>
      </x:c>
      <x:c r="R57" s="18" t="n">
        <x:f>IF(I57=1,J57*D57/697.7877515437722-C57,"")</x:f>
        <x:v>-6.999145157873841</x:v>
      </x:c>
      <x:c r="S57" s="18" t="n">
        <x:f>IF(I57=1,J57*L57,0)</x:f>
        <x:v>399.5</x:v>
      </x:c>
      <x:c r="T57" s="18" t="n">
        <x:f>IF(I57=1,L57^2,0)</x:f>
        <x:v>0.5971074380165289</x:v>
      </x:c>
      <x:c r="U57" s="16" t="n">
        <x:f>IF(I57=1,J57,"")</x:f>
        <x:v>517</x:v>
      </x:c>
      <x:c r="V57" s="3" t="str">
        <x:v>完整頭腳；納入</x:v>
      </x:c>
    </x:row>
    <x:row r="58" ht="26" customHeight="1">
      <x:c r="A58" s="3" t="str">
        <x:v>170_yang/220 (2).jpg</x:v>
      </x:c>
      <x:c r="B58" s="3" t="str">
        <x:v>170_yang</x:v>
      </x:c>
      <x:c r="C58" s="16" t="n">
        <x:v>170</x:v>
      </x:c>
      <x:c r="D58" s="16" t="n">
        <x:v>220</x:v>
      </x:c>
      <x:c r="E58" s="16" t="n">
        <x:v>545</x:v>
      </x:c>
      <x:c r="F58" s="16" t="n">
        <x:v>125</x:v>
      </x:c>
      <x:c r="G58" s="16" t="n">
        <x:v>707</x:v>
      </x:c>
      <x:c r="H58" s="16" t="n">
        <x:v>643</x:v>
      </x:c>
      <x:c r="I58" s="16" t="n">
        <x:v>1</x:v>
      </x:c>
      <x:c r="J58" s="16" t="n">
        <x:f>H58-F58+1</x:f>
        <x:v>519</x:v>
      </x:c>
      <x:c r="K58" s="17" t="n">
        <x:f>IF(I58=1,C58/J58,"")</x:f>
        <x:v>0.32755298651252407</x:v>
      </x:c>
      <x:c r="L58" s="17" t="n">
        <x:f>C58/D58</x:f>
        <x:v>0.7727272727272727</x:v>
      </x:c>
      <x:c r="M58" s="18" t="n">
        <x:f>IF(I58=1,J58*('校正統計'!$B$7*D58+'校正統計'!$B$8),"")</x:f>
        <x:v>168.40121529919384</x:v>
      </x:c>
      <x:c r="N58" s="18" t="n">
        <x:f>IF(I58=1,M58-C58,"")</x:f>
        <x:v>-1.5987847008061635</x:v>
      </x:c>
      <x:c r="O58" s="18" t="n">
        <x:f>IF(I58=1,J58*D58/'校正統計'!$B$9,"")</x:f>
        <x:v>168.68737424119033</x:v>
      </x:c>
      <x:c r="P58" s="18" t="n">
        <x:f>IF(I58=1,O58-C58,"")</x:f>
        <x:v>-1.3126257588096735</x:v>
      </x:c>
      <x:c r="Q58" s="18" t="n">
        <x:f>IF(I58=1,J58*(0.0013599938652549585*D58+0.014432794417975773)-C58,"")</x:f>
        <x:v>-7.225280162259395</x:v>
      </x:c>
      <x:c r="R58" s="18" t="n">
        <x:f>IF(I58=1,J58*D58/697.7877515437722-C58,"")</x:f>
        <x:v>-6.368580922507789</x:v>
      </x:c>
      <x:c r="S58" s="18" t="n">
        <x:f>IF(I58=1,J58*L58,0)</x:f>
        <x:v>401.04545454545456</x:v>
      </x:c>
      <x:c r="T58" s="18" t="n">
        <x:f>IF(I58=1,L58^2,0)</x:f>
        <x:v>0.5971074380165289</x:v>
      </x:c>
      <x:c r="U58" s="16" t="n">
        <x:f>IF(I58=1,J58,"")</x:f>
        <x:v>519</x:v>
      </x:c>
      <x:c r="V58" s="3" t="str">
        <x:v>完整頭腳；納入</x:v>
      </x:c>
    </x:row>
    <x:row r="59" ht="26" customHeight="1">
      <x:c r="A59" s="3" t="str">
        <x:v>170_yang/220 (3).jpg</x:v>
      </x:c>
      <x:c r="B59" s="3" t="str">
        <x:v>170_yang</x:v>
      </x:c>
      <x:c r="C59" s="16" t="n">
        <x:v>170</x:v>
      </x:c>
      <x:c r="D59" s="16" t="n">
        <x:v>220</x:v>
      </x:c>
      <x:c r="E59" s="16" t="n">
        <x:v>545</x:v>
      </x:c>
      <x:c r="F59" s="16" t="n">
        <x:v>124</x:v>
      </x:c>
      <x:c r="G59" s="16" t="n">
        <x:v>708</x:v>
      </x:c>
      <x:c r="H59" s="16" t="n">
        <x:v>642</x:v>
      </x:c>
      <x:c r="I59" s="16" t="n">
        <x:v>1</x:v>
      </x:c>
      <x:c r="J59" s="16" t="n">
        <x:f>H59-F59+1</x:f>
        <x:v>519</x:v>
      </x:c>
      <x:c r="K59" s="17" t="n">
        <x:f>IF(I59=1,C59/J59,"")</x:f>
        <x:v>0.32755298651252407</x:v>
      </x:c>
      <x:c r="L59" s="17" t="n">
        <x:f>C59/D59</x:f>
        <x:v>0.7727272727272727</x:v>
      </x:c>
      <x:c r="M59" s="18" t="n">
        <x:f>IF(I59=1,J59*('校正統計'!$B$7*D59+'校正統計'!$B$8),"")</x:f>
        <x:v>168.40121529919384</x:v>
      </x:c>
      <x:c r="N59" s="18" t="n">
        <x:f>IF(I59=1,M59-C59,"")</x:f>
        <x:v>-1.5987847008061635</x:v>
      </x:c>
      <x:c r="O59" s="18" t="n">
        <x:f>IF(I59=1,J59*D59/'校正統計'!$B$9,"")</x:f>
        <x:v>168.68737424119033</x:v>
      </x:c>
      <x:c r="P59" s="18" t="n">
        <x:f>IF(I59=1,O59-C59,"")</x:f>
        <x:v>-1.3126257588096735</x:v>
      </x:c>
      <x:c r="Q59" s="18" t="n">
        <x:f>IF(I59=1,J59*(0.0013599938652549585*D59+0.014432794417975773)-C59,"")</x:f>
        <x:v>-7.225280162259395</x:v>
      </x:c>
      <x:c r="R59" s="18" t="n">
        <x:f>IF(I59=1,J59*D59/697.7877515437722-C59,"")</x:f>
        <x:v>-6.368580922507789</x:v>
      </x:c>
      <x:c r="S59" s="18" t="n">
        <x:f>IF(I59=1,J59*L59,0)</x:f>
        <x:v>401.04545454545456</x:v>
      </x:c>
      <x:c r="T59" s="18" t="n">
        <x:f>IF(I59=1,L59^2,0)</x:f>
        <x:v>0.5971074380165289</x:v>
      </x:c>
      <x:c r="U59" s="16" t="n">
        <x:f>IF(I59=1,J59,"")</x:f>
        <x:v>519</x:v>
      </x:c>
      <x:c r="V59" s="3" t="str">
        <x:v>完整頭腳；納入</x:v>
      </x:c>
    </x:row>
    <x:row r="60" ht="26" customHeight="1">
      <x:c r="A60" s="3" t="str">
        <x:v>170_yang/220 (4).jpg</x:v>
      </x:c>
      <x:c r="B60" s="3" t="str">
        <x:v>170_yang</x:v>
      </x:c>
      <x:c r="C60" s="16" t="n">
        <x:v>170</x:v>
      </x:c>
      <x:c r="D60" s="16" t="n">
        <x:v>220</x:v>
      </x:c>
      <x:c r="E60" s="16" t="n">
        <x:v>546</x:v>
      </x:c>
      <x:c r="F60" s="16" t="n">
        <x:v>126</x:v>
      </x:c>
      <x:c r="G60" s="16" t="n">
        <x:v>707</x:v>
      </x:c>
      <x:c r="H60" s="16" t="n">
        <x:v>642</x:v>
      </x:c>
      <x:c r="I60" s="16" t="n">
        <x:v>1</x:v>
      </x:c>
      <x:c r="J60" s="16" t="n">
        <x:f>H60-F60+1</x:f>
        <x:v>517</x:v>
      </x:c>
      <x:c r="K60" s="17" t="n">
        <x:f>IF(I60=1,C60/J60,"")</x:f>
        <x:v>0.3288201160541586</x:v>
      </x:c>
      <x:c r="L60" s="17" t="n">
        <x:f>C60/D60</x:f>
        <x:v>0.7727272727272727</x:v>
      </x:c>
      <x:c r="M60" s="18" t="n">
        <x:f>IF(I60=1,J60*('校正統計'!$B$7*D60+'校正統計'!$B$8),"")</x:f>
        <x:v>167.75227034621042</x:v>
      </x:c>
      <x:c r="N60" s="18" t="n">
        <x:f>IF(I60=1,M60-C60,"")</x:f>
        <x:v>-2.247729653789577</x:v>
      </x:c>
      <x:c r="O60" s="18" t="n">
        <x:f>IF(I60=1,J60*D60/'校正統計'!$B$9,"")</x:f>
        <x:v>168.03732655625316</x:v>
      </x:c>
      <x:c r="P60" s="18" t="n">
        <x:f>IF(I60=1,O60-C60,"")</x:f>
        <x:v>-1.9626734437468372</x:v>
      </x:c>
      <x:c r="Q60" s="18" t="n">
        <x:f>IF(I60=1,J60*(0.0013599938652549585*D60+0.014432794417975773)-C60,"")</x:f>
        <x:v>-7.852543051807515</x:v>
      </x:c>
      <x:c r="R60" s="18" t="n">
        <x:f>IF(I60=1,J60*D60/697.7877515437722-C60,"")</x:f>
        <x:v>-6.999145157873841</x:v>
      </x:c>
      <x:c r="S60" s="18" t="n">
        <x:f>IF(I60=1,J60*L60,0)</x:f>
        <x:v>399.5</x:v>
      </x:c>
      <x:c r="T60" s="18" t="n">
        <x:f>IF(I60=1,L60^2,0)</x:f>
        <x:v>0.5971074380165289</x:v>
      </x:c>
      <x:c r="U60" s="16" t="n">
        <x:f>IF(I60=1,J60,"")</x:f>
        <x:v>517</x:v>
      </x:c>
      <x:c r="V60" s="3" t="str">
        <x:v>完整頭腳；納入</x:v>
      </x:c>
    </x:row>
    <x:row r="61" ht="26" customHeight="1">
      <x:c r="A61" s="3" t="str">
        <x:v>170_yang/220 (5).jpg</x:v>
      </x:c>
      <x:c r="B61" s="3" t="str">
        <x:v>170_yang</x:v>
      </x:c>
      <x:c r="C61" s="16" t="n">
        <x:v>170</x:v>
      </x:c>
      <x:c r="D61" s="16" t="n">
        <x:v>220</x:v>
      </x:c>
      <x:c r="E61" s="16" t="n">
        <x:v>544</x:v>
      </x:c>
      <x:c r="F61" s="16" t="n">
        <x:v>123</x:v>
      </x:c>
      <x:c r="G61" s="16" t="n">
        <x:v>707</x:v>
      </x:c>
      <x:c r="H61" s="16" t="n">
        <x:v>640</x:v>
      </x:c>
      <x:c r="I61" s="16" t="n">
        <x:v>1</x:v>
      </x:c>
      <x:c r="J61" s="16" t="n">
        <x:f>H61-F61+1</x:f>
        <x:v>518</x:v>
      </x:c>
      <x:c r="K61" s="17" t="n">
        <x:f>IF(I61=1,C61/J61,"")</x:f>
        <x:v>0.3281853281853282</x:v>
      </x:c>
      <x:c r="L61" s="17" t="n">
        <x:f>C61/D61</x:f>
        <x:v>0.7727272727272727</x:v>
      </x:c>
      <x:c r="M61" s="18" t="n">
        <x:f>IF(I61=1,J61*('校正統計'!$B$7*D61+'校正統計'!$B$8),"")</x:f>
        <x:v>168.07674282270213</x:v>
      </x:c>
      <x:c r="N61" s="18" t="n">
        <x:f>IF(I61=1,M61-C61,"")</x:f>
        <x:v>-1.9232571772978702</x:v>
      </x:c>
      <x:c r="O61" s="18" t="n">
        <x:f>IF(I61=1,J61*D61/'校正統計'!$B$9,"")</x:f>
        <x:v>168.36235039872173</x:v>
      </x:c>
      <x:c r="P61" s="18" t="n">
        <x:f>IF(I61=1,O61-C61,"")</x:f>
        <x:v>-1.6376496012782695</x:v>
      </x:c>
      <x:c r="Q61" s="18" t="n">
        <x:f>IF(I61=1,J61*(0.0013599938652549585*D61+0.014432794417975773)-C61,"")</x:f>
        <x:v>-7.538911607033469</x:v>
      </x:c>
      <x:c r="R61" s="18" t="n">
        <x:f>IF(I61=1,J61*D61/697.7877515437722-C61,"")</x:f>
        <x:v>-6.683863040190801</x:v>
      </x:c>
      <x:c r="S61" s="18" t="n">
        <x:f>IF(I61=1,J61*L61,0)</x:f>
        <x:v>400.27272727272725</x:v>
      </x:c>
      <x:c r="T61" s="18" t="n">
        <x:f>IF(I61=1,L61^2,0)</x:f>
        <x:v>0.5971074380165289</x:v>
      </x:c>
      <x:c r="U61" s="16" t="n">
        <x:f>IF(I61=1,J61,"")</x:f>
        <x:v>518</x:v>
      </x:c>
      <x:c r="V61" s="3" t="str">
        <x:v>完整頭腳；納入</x:v>
      </x:c>
    </x:row>
    <x:row r="62" ht="26" customHeight="1">
      <x:c r="A62" s="3" t="str">
        <x:v>170_yang/220 (6).jpg</x:v>
      </x:c>
      <x:c r="B62" s="3" t="str">
        <x:v>170_yang</x:v>
      </x:c>
      <x:c r="C62" s="16" t="n">
        <x:v>170</x:v>
      </x:c>
      <x:c r="D62" s="16" t="n">
        <x:v>220</x:v>
      </x:c>
      <x:c r="E62" s="16" t="n">
        <x:v>543</x:v>
      </x:c>
      <x:c r="F62" s="16" t="n">
        <x:v>125</x:v>
      </x:c>
      <x:c r="G62" s="16" t="n">
        <x:v>706</x:v>
      </x:c>
      <x:c r="H62" s="16" t="n">
        <x:v>640</x:v>
      </x:c>
      <x:c r="I62" s="16" t="n">
        <x:v>1</x:v>
      </x:c>
      <x:c r="J62" s="16" t="n">
        <x:f>H62-F62+1</x:f>
        <x:v>516</x:v>
      </x:c>
      <x:c r="K62" s="17" t="n">
        <x:f>IF(I62=1,C62/J62,"")</x:f>
        <x:v>0.32945736434108525</x:v>
      </x:c>
      <x:c r="L62" s="17" t="n">
        <x:f>C62/D62</x:f>
        <x:v>0.7727272727272727</x:v>
      </x:c>
      <x:c r="M62" s="18" t="n">
        <x:f>IF(I62=1,J62*('校正統計'!$B$7*D62+'校正統計'!$B$8),"")</x:f>
        <x:v>167.42779786971872</x:v>
      </x:c>
      <x:c r="N62" s="18" t="n">
        <x:f>IF(I62=1,M62-C62,"")</x:f>
        <x:v>-2.5722021302812834</x:v>
      </x:c>
      <x:c r="O62" s="18" t="n">
        <x:f>IF(I62=1,J62*D62/'校正統計'!$B$9,"")</x:f>
        <x:v>167.7123027137846</x:v>
      </x:c>
      <x:c r="P62" s="18" t="n">
        <x:f>IF(I62=1,O62-C62,"")</x:f>
        <x:v>-2.287697286215405</x:v>
      </x:c>
      <x:c r="Q62" s="18" t="n">
        <x:f>IF(I62=1,J62*(0.0013599938652549585*D62+0.014432794417975773)-C62,"")</x:f>
        <x:v>-8.16617449658159</x:v>
      </x:c>
      <x:c r="R62" s="18" t="n">
        <x:f>IF(I62=1,J62*D62/697.7877515437722-C62,"")</x:f>
        <x:v>-7.314427275556881</x:v>
      </x:c>
      <x:c r="S62" s="18" t="n">
        <x:f>IF(I62=1,J62*L62,0)</x:f>
        <x:v>398.7272727272727</x:v>
      </x:c>
      <x:c r="T62" s="18" t="n">
        <x:f>IF(I62=1,L62^2,0)</x:f>
        <x:v>0.5971074380165289</x:v>
      </x:c>
      <x:c r="U62" s="16" t="n">
        <x:f>IF(I62=1,J62,"")</x:f>
        <x:v>516</x:v>
      </x:c>
      <x:c r="V62" s="3" t="str">
        <x:v>完整頭腳；納入</x:v>
      </x:c>
    </x:row>
    <x:row r="63" ht="26" customHeight="1">
      <x:c r="A63" s="3" t="str">
        <x:v>170_yang/220 (7).jpg</x:v>
      </x:c>
      <x:c r="B63" s="3" t="str">
        <x:v>170_yang</x:v>
      </x:c>
      <x:c r="C63" s="16" t="n">
        <x:v>170</x:v>
      </x:c>
      <x:c r="D63" s="16" t="n">
        <x:v>220</x:v>
      </x:c>
      <x:c r="E63" s="16" t="n">
        <x:v>543</x:v>
      </x:c>
      <x:c r="F63" s="16" t="n">
        <x:v>123</x:v>
      </x:c>
      <x:c r="G63" s="16" t="n">
        <x:v>707</x:v>
      </x:c>
      <x:c r="H63" s="16" t="n">
        <x:v>640</x:v>
      </x:c>
      <x:c r="I63" s="16" t="n">
        <x:v>1</x:v>
      </x:c>
      <x:c r="J63" s="16" t="n">
        <x:f>H63-F63+1</x:f>
        <x:v>518</x:v>
      </x:c>
      <x:c r="K63" s="17" t="n">
        <x:f>IF(I63=1,C63/J63,"")</x:f>
        <x:v>0.3281853281853282</x:v>
      </x:c>
      <x:c r="L63" s="17" t="n">
        <x:f>C63/D63</x:f>
        <x:v>0.7727272727272727</x:v>
      </x:c>
      <x:c r="M63" s="18" t="n">
        <x:f>IF(I63=1,J63*('校正統計'!$B$7*D63+'校正統計'!$B$8),"")</x:f>
        <x:v>168.07674282270213</x:v>
      </x:c>
      <x:c r="N63" s="18" t="n">
        <x:f>IF(I63=1,M63-C63,"")</x:f>
        <x:v>-1.9232571772978702</x:v>
      </x:c>
      <x:c r="O63" s="18" t="n">
        <x:f>IF(I63=1,J63*D63/'校正統計'!$B$9,"")</x:f>
        <x:v>168.36235039872173</x:v>
      </x:c>
      <x:c r="P63" s="18" t="n">
        <x:f>IF(I63=1,O63-C63,"")</x:f>
        <x:v>-1.6376496012782695</x:v>
      </x:c>
      <x:c r="Q63" s="18" t="n">
        <x:f>IF(I63=1,J63*(0.0013599938652549585*D63+0.014432794417975773)-C63,"")</x:f>
        <x:v>-7.538911607033469</x:v>
      </x:c>
      <x:c r="R63" s="18" t="n">
        <x:f>IF(I63=1,J63*D63/697.7877515437722-C63,"")</x:f>
        <x:v>-6.683863040190801</x:v>
      </x:c>
      <x:c r="S63" s="18" t="n">
        <x:f>IF(I63=1,J63*L63,0)</x:f>
        <x:v>400.27272727272725</x:v>
      </x:c>
      <x:c r="T63" s="18" t="n">
        <x:f>IF(I63=1,L63^2,0)</x:f>
        <x:v>0.5971074380165289</x:v>
      </x:c>
      <x:c r="U63" s="16" t="n">
        <x:f>IF(I63=1,J63,"")</x:f>
        <x:v>518</x:v>
      </x:c>
      <x:c r="V63" s="3" t="str">
        <x:v>完整頭腳；納入</x:v>
      </x:c>
    </x:row>
    <x:row r="64" ht="26" customHeight="1">
      <x:c r="A64" s="3" t="str">
        <x:v>170_yang/220 (8).jpg</x:v>
      </x:c>
      <x:c r="B64" s="3" t="str">
        <x:v>170_yang</x:v>
      </x:c>
      <x:c r="C64" s="16" t="n">
        <x:v>170</x:v>
      </x:c>
      <x:c r="D64" s="16" t="n">
        <x:v>220</x:v>
      </x:c>
      <x:c r="E64" s="16" t="n">
        <x:v>543</x:v>
      </x:c>
      <x:c r="F64" s="16" t="n">
        <x:v>124</x:v>
      </x:c>
      <x:c r="G64" s="16" t="n">
        <x:v>707</x:v>
      </x:c>
      <x:c r="H64" s="16" t="n">
        <x:v>641</x:v>
      </x:c>
      <x:c r="I64" s="16" t="n">
        <x:v>1</x:v>
      </x:c>
      <x:c r="J64" s="16" t="n">
        <x:f>H64-F64+1</x:f>
        <x:v>518</x:v>
      </x:c>
      <x:c r="K64" s="17" t="n">
        <x:f>IF(I64=1,C64/J64,"")</x:f>
        <x:v>0.3281853281853282</x:v>
      </x:c>
      <x:c r="L64" s="17" t="n">
        <x:f>C64/D64</x:f>
        <x:v>0.7727272727272727</x:v>
      </x:c>
      <x:c r="M64" s="18" t="n">
        <x:f>IF(I64=1,J64*('校正統計'!$B$7*D64+'校正統計'!$B$8),"")</x:f>
        <x:v>168.07674282270213</x:v>
      </x:c>
      <x:c r="N64" s="18" t="n">
        <x:f>IF(I64=1,M64-C64,"")</x:f>
        <x:v>-1.9232571772978702</x:v>
      </x:c>
      <x:c r="O64" s="18" t="n">
        <x:f>IF(I64=1,J64*D64/'校正統計'!$B$9,"")</x:f>
        <x:v>168.36235039872173</x:v>
      </x:c>
      <x:c r="P64" s="18" t="n">
        <x:f>IF(I64=1,O64-C64,"")</x:f>
        <x:v>-1.6376496012782695</x:v>
      </x:c>
      <x:c r="Q64" s="18" t="n">
        <x:f>IF(I64=1,J64*(0.0013599938652549585*D64+0.014432794417975773)-C64,"")</x:f>
        <x:v>-7.538911607033469</x:v>
      </x:c>
      <x:c r="R64" s="18" t="n">
        <x:f>IF(I64=1,J64*D64/697.7877515437722-C64,"")</x:f>
        <x:v>-6.683863040190801</x:v>
      </x:c>
      <x:c r="S64" s="18" t="n">
        <x:f>IF(I64=1,J64*L64,0)</x:f>
        <x:v>400.27272727272725</x:v>
      </x:c>
      <x:c r="T64" s="18" t="n">
        <x:f>IF(I64=1,L64^2,0)</x:f>
        <x:v>0.5971074380165289</x:v>
      </x:c>
      <x:c r="U64" s="16" t="n">
        <x:f>IF(I64=1,J64,"")</x:f>
        <x:v>518</x:v>
      </x:c>
      <x:c r="V64" s="3" t="str">
        <x:v>完整頭腳；納入</x:v>
      </x:c>
    </x:row>
    <x:row r="65" ht="26" customHeight="1">
      <x:c r="A65" s="3" t="str">
        <x:v>170_yang/220 (9).jpg</x:v>
      </x:c>
      <x:c r="B65" s="3" t="str">
        <x:v>170_yang</x:v>
      </x:c>
      <x:c r="C65" s="16" t="n">
        <x:v>170</x:v>
      </x:c>
      <x:c r="D65" s="16" t="n">
        <x:v>220</x:v>
      </x:c>
      <x:c r="E65" s="16" t="n">
        <x:v>546</x:v>
      </x:c>
      <x:c r="F65" s="16" t="n">
        <x:v>126</x:v>
      </x:c>
      <x:c r="G65" s="16" t="n">
        <x:v>709</x:v>
      </x:c>
      <x:c r="H65" s="16" t="n">
        <x:v>642</x:v>
      </x:c>
      <x:c r="I65" s="16" t="n">
        <x:v>1</x:v>
      </x:c>
      <x:c r="J65" s="16" t="n">
        <x:f>H65-F65+1</x:f>
        <x:v>517</x:v>
      </x:c>
      <x:c r="K65" s="17" t="n">
        <x:f>IF(I65=1,C65/J65,"")</x:f>
        <x:v>0.3288201160541586</x:v>
      </x:c>
      <x:c r="L65" s="17" t="n">
        <x:f>C65/D65</x:f>
        <x:v>0.7727272727272727</x:v>
      </x:c>
      <x:c r="M65" s="18" t="n">
        <x:f>IF(I65=1,J65*('校正統計'!$B$7*D65+'校正統計'!$B$8),"")</x:f>
        <x:v>167.75227034621042</x:v>
      </x:c>
      <x:c r="N65" s="18" t="n">
        <x:f>IF(I65=1,M65-C65,"")</x:f>
        <x:v>-2.247729653789577</x:v>
      </x:c>
      <x:c r="O65" s="18" t="n">
        <x:f>IF(I65=1,J65*D65/'校正統計'!$B$9,"")</x:f>
        <x:v>168.03732655625316</x:v>
      </x:c>
      <x:c r="P65" s="18" t="n">
        <x:f>IF(I65=1,O65-C65,"")</x:f>
        <x:v>-1.9626734437468372</x:v>
      </x:c>
      <x:c r="Q65" s="18" t="n">
        <x:f>IF(I65=1,J65*(0.0013599938652549585*D65+0.014432794417975773)-C65,"")</x:f>
        <x:v>-7.852543051807515</x:v>
      </x:c>
      <x:c r="R65" s="18" t="n">
        <x:f>IF(I65=1,J65*D65/697.7877515437722-C65,"")</x:f>
        <x:v>-6.999145157873841</x:v>
      </x:c>
      <x:c r="S65" s="18" t="n">
        <x:f>IF(I65=1,J65*L65,0)</x:f>
        <x:v>399.5</x:v>
      </x:c>
      <x:c r="T65" s="18" t="n">
        <x:f>IF(I65=1,L65^2,0)</x:f>
        <x:v>0.5971074380165289</x:v>
      </x:c>
      <x:c r="U65" s="16" t="n">
        <x:f>IF(I65=1,J65,"")</x:f>
        <x:v>517</x:v>
      </x:c>
      <x:c r="V65" s="3" t="str">
        <x:v>Head turned sideways; full endpoints visible.</x:v>
      </x:c>
    </x:row>
    <x:row r="66" ht="26" customHeight="1">
      <x:c r="A66" s="3" t="str">
        <x:v>170_yang/240 (1).jpg</x:v>
      </x:c>
      <x:c r="B66" s="3" t="str">
        <x:v>170_yang</x:v>
      </x:c>
      <x:c r="C66" s="16" t="n">
        <x:v>170</x:v>
      </x:c>
      <x:c r="D66" s="16" t="n">
        <x:v>240</x:v>
      </x:c>
      <x:c r="E66" s="16" t="n">
        <x:v>553</x:v>
      </x:c>
      <x:c r="F66" s="16" t="n">
        <x:v>151</x:v>
      </x:c>
      <x:c r="G66" s="16" t="n">
        <x:v>714</x:v>
      </x:c>
      <x:c r="H66" s="16" t="n">
        <x:v>629</x:v>
      </x:c>
      <x:c r="I66" s="16" t="n">
        <x:v>1</x:v>
      </x:c>
      <x:c r="J66" s="16" t="n">
        <x:f>H66-F66+1</x:f>
        <x:v>479</x:v>
      </x:c>
      <x:c r="K66" s="17" t="n">
        <x:f>IF(I66=1,C66/J66,"")</x:f>
        <x:v>0.35490605427974947</x:v>
      </x:c>
      <x:c r="L66" s="17" t="n">
        <x:f>C66/D66</x:f>
        <x:v>0.7083333333333334</x:v>
      </x:c>
      <x:c r="M66" s="18" t="n">
        <x:f>IF(I66=1,J66*('校正統計'!$B$7*D66+'校正統計'!$B$8),"")</x:f>
        <x:v>168.59085830438886</x:v>
      </x:c>
      <x:c r="N66" s="18" t="n">
        <x:f>IF(I66=1,M66-C66,"")</x:f>
        <x:v>-1.4091416956111402</x:v>
      </x:c>
      <x:c r="O66" s="18" t="n">
        <x:f>IF(I66=1,J66*D66/'校正統計'!$B$9,"")</x:f>
        <x:v>169.83973150085163</x:v>
      </x:c>
      <x:c r="P66" s="18" t="n">
        <x:f>IF(I66=1,O66-C66,"")</x:f>
        <x:v>-0.1602684991483727</x:v>
      </x:c>
      <x:c r="Q66" s="18" t="n">
        <x:f>IF(I66=1,J66*(0.0013599938652549585*D66+0.014432794417975773)-C66,"")</x:f>
        <x:v>-6.741796724079563</x:v>
      </x:c>
      <x:c r="R66" s="18" t="n">
        <x:f>IF(I66=1,J66*D66/697.7877515437722-C66,"")</x:f>
        <x:v>-5.250762505267943</x:v>
      </x:c>
      <x:c r="S66" s="18" t="n">
        <x:f>IF(I66=1,J66*L66,0)</x:f>
        <x:v>339.2916666666667</x:v>
      </x:c>
      <x:c r="T66" s="18" t="n">
        <x:f>IF(I66=1,L66^2,0)</x:f>
        <x:v>0.5017361111111112</x:v>
      </x:c>
      <x:c r="U66" s="16" t="n">
        <x:f>IF(I66=1,J66,"")</x:f>
        <x:v>479</x:v>
      </x:c>
      <x:c r="V66" s="3" t="str">
        <x:v>完整頭腳；納入</x:v>
      </x:c>
    </x:row>
    <x:row r="67" ht="26" customHeight="1">
      <x:c r="A67" s="3" t="str">
        <x:v>170_yang/240 (2).jpg</x:v>
      </x:c>
      <x:c r="B67" s="3" t="str">
        <x:v>170_yang</x:v>
      </x:c>
      <x:c r="C67" s="16" t="n">
        <x:v>170</x:v>
      </x:c>
      <x:c r="D67" s="16" t="n">
        <x:v>240</x:v>
      </x:c>
      <x:c r="E67" s="16" t="n">
        <x:v>553</x:v>
      </x:c>
      <x:c r="F67" s="16" t="n">
        <x:v>154</x:v>
      </x:c>
      <x:c r="G67" s="16" t="n">
        <x:v>710</x:v>
      </x:c>
      <x:c r="H67" s="16" t="n">
        <x:v>630</x:v>
      </x:c>
      <x:c r="I67" s="16" t="n">
        <x:v>1</x:v>
      </x:c>
      <x:c r="J67" s="16" t="n">
        <x:f>H67-F67+1</x:f>
        <x:v>477</x:v>
      </x:c>
      <x:c r="K67" s="17" t="n">
        <x:f>IF(I67=1,C67/J67,"")</x:f>
        <x:v>0.35639412997903563</x:v>
      </x:c>
      <x:c r="L67" s="17" t="n">
        <x:f>C67/D67</x:f>
        <x:v>0.7083333333333334</x:v>
      </x:c>
      <x:c r="M67" s="18" t="n">
        <x:f>IF(I67=1,J67*('校正統計'!$B$7*D67+'校正統計'!$B$8),"")</x:f>
        <x:v>167.88692987723064</x:v>
      </x:c>
      <x:c r="N67" s="18" t="n">
        <x:f>IF(I67=1,M67-C67,"")</x:f>
        <x:v>-2.113070122769358</x:v>
      </x:c>
      <x:c r="O67" s="18" t="n">
        <x:f>IF(I67=1,J67*D67/'校正統計'!$B$9,"")</x:f>
        <x:v>169.1305885718293</x:v>
      </x:c>
      <x:c r="P67" s="18" t="n">
        <x:f>IF(I67=1,O67-C67,"")</x:f>
        <x:v>-0.8694114281707073</x:v>
      </x:c>
      <x:c r="Q67" s="18" t="n">
        <x:f>IF(I67=1,J67*(0.0013599938652549585*D67+0.014432794417975773)-C67,"")</x:f>
        <x:v>-7.4234593682379</x:v>
      </x:c>
      <x:c r="R67" s="18" t="n">
        <x:f>IF(I67=1,J67*D67/697.7877515437722-C67,"")</x:f>
        <x:v>-5.938650762030932</x:v>
      </x:c>
      <x:c r="S67" s="18" t="n">
        <x:f>IF(I67=1,J67*L67,0)</x:f>
        <x:v>337.875</x:v>
      </x:c>
      <x:c r="T67" s="18" t="n">
        <x:f>IF(I67=1,L67^2,0)</x:f>
        <x:v>0.5017361111111112</x:v>
      </x:c>
      <x:c r="U67" s="16" t="n">
        <x:f>IF(I67=1,J67,"")</x:f>
        <x:v>477</x:v>
      </x:c>
      <x:c r="V67" s="3" t="str">
        <x:v>完整頭腳；納入</x:v>
      </x:c>
    </x:row>
    <x:row r="68" ht="26" customHeight="1">
      <x:c r="A68" s="3" t="str">
        <x:v>170_yang/240 (3).jpg</x:v>
      </x:c>
      <x:c r="B68" s="3" t="str">
        <x:v>170_yang</x:v>
      </x:c>
      <x:c r="C68" s="16" t="n">
        <x:v>170</x:v>
      </x:c>
      <x:c r="D68" s="16" t="n">
        <x:v>240</x:v>
      </x:c>
      <x:c r="E68" s="16" t="n">
        <x:v>555</x:v>
      </x:c>
      <x:c r="F68" s="16" t="n">
        <x:v>150</x:v>
      </x:c>
      <x:c r="G68" s="16" t="n">
        <x:v>714</x:v>
      </x:c>
      <x:c r="H68" s="16" t="n">
        <x:v>628</x:v>
      </x:c>
      <x:c r="I68" s="16" t="n">
        <x:v>1</x:v>
      </x:c>
      <x:c r="J68" s="16" t="n">
        <x:f>H68-F68+1</x:f>
        <x:v>479</x:v>
      </x:c>
      <x:c r="K68" s="17" t="n">
        <x:f>IF(I68=1,C68/J68,"")</x:f>
        <x:v>0.35490605427974947</x:v>
      </x:c>
      <x:c r="L68" s="17" t="n">
        <x:f>C68/D68</x:f>
        <x:v>0.7083333333333334</x:v>
      </x:c>
      <x:c r="M68" s="18" t="n">
        <x:f>IF(I68=1,J68*('校正統計'!$B$7*D68+'校正統計'!$B$8),"")</x:f>
        <x:v>168.59085830438886</x:v>
      </x:c>
      <x:c r="N68" s="18" t="n">
        <x:f>IF(I68=1,M68-C68,"")</x:f>
        <x:v>-1.4091416956111402</x:v>
      </x:c>
      <x:c r="O68" s="18" t="n">
        <x:f>IF(I68=1,J68*D68/'校正統計'!$B$9,"")</x:f>
        <x:v>169.83973150085163</x:v>
      </x:c>
      <x:c r="P68" s="18" t="n">
        <x:f>IF(I68=1,O68-C68,"")</x:f>
        <x:v>-0.1602684991483727</x:v>
      </x:c>
      <x:c r="Q68" s="18" t="n">
        <x:f>IF(I68=1,J68*(0.0013599938652549585*D68+0.014432794417975773)-C68,"")</x:f>
        <x:v>-6.741796724079563</x:v>
      </x:c>
      <x:c r="R68" s="18" t="n">
        <x:f>IF(I68=1,J68*D68/697.7877515437722-C68,"")</x:f>
        <x:v>-5.250762505267943</x:v>
      </x:c>
      <x:c r="S68" s="18" t="n">
        <x:f>IF(I68=1,J68*L68,0)</x:f>
        <x:v>339.2916666666667</x:v>
      </x:c>
      <x:c r="T68" s="18" t="n">
        <x:f>IF(I68=1,L68^2,0)</x:f>
        <x:v>0.5017361111111112</x:v>
      </x:c>
      <x:c r="U68" s="16" t="n">
        <x:f>IF(I68=1,J68,"")</x:f>
        <x:v>479</x:v>
      </x:c>
      <x:c r="V68" s="3" t="str">
        <x:v>完整頭腳；納入</x:v>
      </x:c>
    </x:row>
    <x:row r="69" ht="26" customHeight="1">
      <x:c r="A69" s="3" t="str">
        <x:v>170_yang/240 (4).jpg</x:v>
      </x:c>
      <x:c r="B69" s="3" t="str">
        <x:v>170_yang</x:v>
      </x:c>
      <x:c r="C69" s="16" t="n">
        <x:v>170</x:v>
      </x:c>
      <x:c r="D69" s="16" t="n">
        <x:v>240</x:v>
      </x:c>
      <x:c r="E69" s="16" t="n">
        <x:v>552</x:v>
      </x:c>
      <x:c r="F69" s="16" t="n">
        <x:v>151</x:v>
      </x:c>
      <x:c r="G69" s="16" t="n">
        <x:v>710</x:v>
      </x:c>
      <x:c r="H69" s="16" t="n">
        <x:v>628</x:v>
      </x:c>
      <x:c r="I69" s="16" t="n">
        <x:v>1</x:v>
      </x:c>
      <x:c r="J69" s="16" t="n">
        <x:f>H69-F69+1</x:f>
        <x:v>478</x:v>
      </x:c>
      <x:c r="K69" s="17" t="n">
        <x:f>IF(I69=1,C69/J69,"")</x:f>
        <x:v>0.35564853556485354</x:v>
      </x:c>
      <x:c r="L69" s="17" t="n">
        <x:f>C69/D69</x:f>
        <x:v>0.7083333333333334</x:v>
      </x:c>
      <x:c r="M69" s="18" t="n">
        <x:f>IF(I69=1,J69*('校正統計'!$B$7*D69+'校正統計'!$B$8),"")</x:f>
        <x:v>168.23889409080977</x:v>
      </x:c>
      <x:c r="N69" s="18" t="n">
        <x:f>IF(I69=1,M69-C69,"")</x:f>
        <x:v>-1.7611059091902348</x:v>
      </x:c>
      <x:c r="O69" s="18" t="n">
        <x:f>IF(I69=1,J69*D69/'校正統計'!$B$9,"")</x:f>
        <x:v>169.48516003634046</x:v>
      </x:c>
      <x:c r="P69" s="18" t="n">
        <x:f>IF(I69=1,O69-C69,"")</x:f>
        <x:v>-0.51483996365954</x:v>
      </x:c>
      <x:c r="Q69" s="18" t="n">
        <x:f>IF(I69=1,J69*(0.0013599938652549585*D69+0.014432794417975773)-C69,"")</x:f>
        <x:v>-7.082628046158732</x:v>
      </x:c>
      <x:c r="R69" s="18" t="n">
        <x:f>IF(I69=1,J69*D69/697.7877515437722-C69,"")</x:f>
        <x:v>-5.5947066336494515</x:v>
      </x:c>
      <x:c r="S69" s="18" t="n">
        <x:f>IF(I69=1,J69*L69,0)</x:f>
        <x:v>338.58333333333337</x:v>
      </x:c>
      <x:c r="T69" s="18" t="n">
        <x:f>IF(I69=1,L69^2,0)</x:f>
        <x:v>0.5017361111111112</x:v>
      </x:c>
      <x:c r="U69" s="16" t="n">
        <x:f>IF(I69=1,J69,"")</x:f>
        <x:v>478</x:v>
      </x:c>
      <x:c r="V69" s="3" t="str">
        <x:v>完整頭腳；納入</x:v>
      </x:c>
    </x:row>
    <x:row r="70" ht="26" customHeight="1">
      <x:c r="A70" s="3" t="str">
        <x:v>170_yang/240 (5).jpg</x:v>
      </x:c>
      <x:c r="B70" s="3" t="str">
        <x:v>170_yang</x:v>
      </x:c>
      <x:c r="C70" s="16" t="n">
        <x:v>170</x:v>
      </x:c>
      <x:c r="D70" s="16" t="n">
        <x:v>240</x:v>
      </x:c>
      <x:c r="E70" s="16" t="n">
        <x:v>556</x:v>
      </x:c>
      <x:c r="F70" s="16" t="n">
        <x:v>151</x:v>
      </x:c>
      <x:c r="G70" s="16" t="n">
        <x:v>711</x:v>
      </x:c>
      <x:c r="H70" s="16" t="n">
        <x:v>628</x:v>
      </x:c>
      <x:c r="I70" s="16" t="n">
        <x:v>1</x:v>
      </x:c>
      <x:c r="J70" s="16" t="n">
        <x:f>H70-F70+1</x:f>
        <x:v>478</x:v>
      </x:c>
      <x:c r="K70" s="17" t="n">
        <x:f>IF(I70=1,C70/J70,"")</x:f>
        <x:v>0.35564853556485354</x:v>
      </x:c>
      <x:c r="L70" s="17" t="n">
        <x:f>C70/D70</x:f>
        <x:v>0.7083333333333334</x:v>
      </x:c>
      <x:c r="M70" s="18" t="n">
        <x:f>IF(I70=1,J70*('校正統計'!$B$7*D70+'校正統計'!$B$8),"")</x:f>
        <x:v>168.23889409080977</x:v>
      </x:c>
      <x:c r="N70" s="18" t="n">
        <x:f>IF(I70=1,M70-C70,"")</x:f>
        <x:v>-1.7611059091902348</x:v>
      </x:c>
      <x:c r="O70" s="18" t="n">
        <x:f>IF(I70=1,J70*D70/'校正統計'!$B$9,"")</x:f>
        <x:v>169.48516003634046</x:v>
      </x:c>
      <x:c r="P70" s="18" t="n">
        <x:f>IF(I70=1,O70-C70,"")</x:f>
        <x:v>-0.51483996365954</x:v>
      </x:c>
      <x:c r="Q70" s="18" t="n">
        <x:f>IF(I70=1,J70*(0.0013599938652549585*D70+0.014432794417975773)-C70,"")</x:f>
        <x:v>-7.082628046158732</x:v>
      </x:c>
      <x:c r="R70" s="18" t="n">
        <x:f>IF(I70=1,J70*D70/697.7877515437722-C70,"")</x:f>
        <x:v>-5.5947066336494515</x:v>
      </x:c>
      <x:c r="S70" s="18" t="n">
        <x:f>IF(I70=1,J70*L70,0)</x:f>
        <x:v>338.58333333333337</x:v>
      </x:c>
      <x:c r="T70" s="18" t="n">
        <x:f>IF(I70=1,L70^2,0)</x:f>
        <x:v>0.5017361111111112</x:v>
      </x:c>
      <x:c r="U70" s="16" t="n">
        <x:f>IF(I70=1,J70,"")</x:f>
        <x:v>478</x:v>
      </x:c>
      <x:c r="V70" s="3" t="str">
        <x:v>完整頭腳；納入</x:v>
      </x:c>
    </x:row>
    <x:row r="71" ht="26" customHeight="1">
      <x:c r="A71" s="3" t="str">
        <x:v>170_yang/240 (6).jpg</x:v>
      </x:c>
      <x:c r="B71" s="3" t="str">
        <x:v>170_yang</x:v>
      </x:c>
      <x:c r="C71" s="16" t="n">
        <x:v>170</x:v>
      </x:c>
      <x:c r="D71" s="16" t="n">
        <x:v>240</x:v>
      </x:c>
      <x:c r="E71" s="16" t="n">
        <x:v>557</x:v>
      </x:c>
      <x:c r="F71" s="16" t="n">
        <x:v>149</x:v>
      </x:c>
      <x:c r="G71" s="16" t="n">
        <x:v>709</x:v>
      </x:c>
      <x:c r="H71" s="16" t="n">
        <x:v>628</x:v>
      </x:c>
      <x:c r="I71" s="16" t="n">
        <x:v>1</x:v>
      </x:c>
      <x:c r="J71" s="16" t="n">
        <x:f>H71-F71+1</x:f>
        <x:v>480</x:v>
      </x:c>
      <x:c r="K71" s="17" t="n">
        <x:f>IF(I71=1,C71/J71,"")</x:f>
        <x:v>0.3541666666666667</x:v>
      </x:c>
      <x:c r="L71" s="17" t="n">
        <x:f>C71/D71</x:f>
        <x:v>0.7083333333333334</x:v>
      </x:c>
      <x:c r="M71" s="18" t="n">
        <x:f>IF(I71=1,J71*('校正統計'!$B$7*D71+'校正統計'!$B$8),"")</x:f>
        <x:v>168.94282251796795</x:v>
      </x:c>
      <x:c r="N71" s="18" t="n">
        <x:f>IF(I71=1,M71-C71,"")</x:f>
        <x:v>-1.0571774820320456</x:v>
      </x:c>
      <x:c r="O71" s="18" t="n">
        <x:f>IF(I71=1,J71*D71/'校正統計'!$B$9,"")</x:f>
        <x:v>170.1943029653628</x:v>
      </x:c>
      <x:c r="P71" s="18" t="n">
        <x:f>IF(I71=1,O71-C71,"")</x:f>
        <x:v>0.19430296536279457</x:v>
      </x:c>
      <x:c r="Q71" s="18" t="n">
        <x:f>IF(I71=1,J71*(0.0013599938652549585*D71+0.014432794417975773)-C71,"")</x:f>
        <x:v>-6.400965402000395</x:v>
      </x:c>
      <x:c r="R71" s="18" t="n">
        <x:f>IF(I71=1,J71*D71/697.7877515437722-C71,"")</x:f>
        <x:v>-4.906818376886463</x:v>
      </x:c>
      <x:c r="S71" s="18" t="n">
        <x:f>IF(I71=1,J71*L71,0)</x:f>
        <x:v>340</x:v>
      </x:c>
      <x:c r="T71" s="18" t="n">
        <x:f>IF(I71=1,L71^2,0)</x:f>
        <x:v>0.5017361111111112</x:v>
      </x:c>
      <x:c r="U71" s="16" t="n">
        <x:f>IF(I71=1,J71,"")</x:f>
        <x:v>480</x:v>
      </x:c>
      <x:c r="V71" s="3" t="str">
        <x:v>完整頭腳；納入</x:v>
      </x:c>
    </x:row>
    <x:row r="72" ht="26" customHeight="1">
      <x:c r="A72" s="3" t="str">
        <x:v>170_yang/240 (7).jpg</x:v>
      </x:c>
      <x:c r="B72" s="3" t="str">
        <x:v>170_yang</x:v>
      </x:c>
      <x:c r="C72" s="16" t="n">
        <x:v>170</x:v>
      </x:c>
      <x:c r="D72" s="16" t="n">
        <x:v>240</x:v>
      </x:c>
      <x:c r="E72" s="16" t="n">
        <x:v>555</x:v>
      </x:c>
      <x:c r="F72" s="16" t="n">
        <x:v>148</x:v>
      </x:c>
      <x:c r="G72" s="16" t="n">
        <x:v>710</x:v>
      </x:c>
      <x:c r="H72" s="16" t="n">
        <x:v>628</x:v>
      </x:c>
      <x:c r="I72" s="16" t="n">
        <x:v>1</x:v>
      </x:c>
      <x:c r="J72" s="16" t="n">
        <x:f>H72-F72+1</x:f>
        <x:v>481</x:v>
      </x:c>
      <x:c r="K72" s="17" t="n">
        <x:f>IF(I72=1,C72/J72,"")</x:f>
        <x:v>0.35343035343035345</x:v>
      </x:c>
      <x:c r="L72" s="17" t="n">
        <x:f>C72/D72</x:f>
        <x:v>0.7083333333333334</x:v>
      </x:c>
      <x:c r="M72" s="18" t="n">
        <x:f>IF(I72=1,J72*('校正統計'!$B$7*D72+'校正統計'!$B$8),"")</x:f>
        <x:v>169.29478673154705</x:v>
      </x:c>
      <x:c r="N72" s="18" t="n">
        <x:f>IF(I72=1,M72-C72,"")</x:f>
        <x:v>-0.7052132684529511</x:v>
      </x:c>
      <x:c r="O72" s="18" t="n">
        <x:f>IF(I72=1,J72*D72/'校正統計'!$B$9,"")</x:f>
        <x:v>170.54887442987396</x:v>
      </x:c>
      <x:c r="P72" s="18" t="n">
        <x:f>IF(I72=1,O72-C72,"")</x:f>
        <x:v>0.5488744298739618</x:v>
      </x:c>
      <x:c r="Q72" s="18" t="n">
        <x:f>IF(I72=1,J72*(0.0013599938652549585*D72+0.014432794417975773)-C72,"")</x:f>
        <x:v>-6.060134079921227</x:v>
      </x:c>
      <x:c r="R72" s="18" t="n">
        <x:f>IF(I72=1,J72*D72/697.7877515437722-C72,"")</x:f>
        <x:v>-4.562874248504983</x:v>
      </x:c>
      <x:c r="S72" s="18" t="n">
        <x:f>IF(I72=1,J72*L72,0)</x:f>
        <x:v>340.70833333333337</x:v>
      </x:c>
      <x:c r="T72" s="18" t="n">
        <x:f>IF(I72=1,L72^2,0)</x:f>
        <x:v>0.5017361111111112</x:v>
      </x:c>
      <x:c r="U72" s="16" t="n">
        <x:f>IF(I72=1,J72,"")</x:f>
        <x:v>481</x:v>
      </x:c>
      <x:c r="V72" s="3" t="str">
        <x:v>完整頭腳；納入</x:v>
      </x:c>
    </x:row>
    <x:row r="73" ht="26" customHeight="1">
      <x:c r="A73" s="3" t="str">
        <x:v>170_yang/240 (8).jpg</x:v>
      </x:c>
      <x:c r="B73" s="3" t="str">
        <x:v>170_yang</x:v>
      </x:c>
      <x:c r="C73" s="16" t="n">
        <x:v>170</x:v>
      </x:c>
      <x:c r="D73" s="16" t="n">
        <x:v>240</x:v>
      </x:c>
      <x:c r="E73" s="16" t="n">
        <x:v>557</x:v>
      </x:c>
      <x:c r="F73" s="16" t="n">
        <x:v>150</x:v>
      </x:c>
      <x:c r="G73" s="16" t="n">
        <x:v>711</x:v>
      </x:c>
      <x:c r="H73" s="16" t="n">
        <x:v>628</x:v>
      </x:c>
      <x:c r="I73" s="16" t="n">
        <x:v>1</x:v>
      </x:c>
      <x:c r="J73" s="16" t="n">
        <x:f>H73-F73+1</x:f>
        <x:v>479</x:v>
      </x:c>
      <x:c r="K73" s="17" t="n">
        <x:f>IF(I73=1,C73/J73,"")</x:f>
        <x:v>0.35490605427974947</x:v>
      </x:c>
      <x:c r="L73" s="17" t="n">
        <x:f>C73/D73</x:f>
        <x:v>0.7083333333333334</x:v>
      </x:c>
      <x:c r="M73" s="18" t="n">
        <x:f>IF(I73=1,J73*('校正統計'!$B$7*D73+'校正統計'!$B$8),"")</x:f>
        <x:v>168.59085830438886</x:v>
      </x:c>
      <x:c r="N73" s="18" t="n">
        <x:f>IF(I73=1,M73-C73,"")</x:f>
        <x:v>-1.4091416956111402</x:v>
      </x:c>
      <x:c r="O73" s="18" t="n">
        <x:f>IF(I73=1,J73*D73/'校正統計'!$B$9,"")</x:f>
        <x:v>169.83973150085163</x:v>
      </x:c>
      <x:c r="P73" s="18" t="n">
        <x:f>IF(I73=1,O73-C73,"")</x:f>
        <x:v>-0.1602684991483727</x:v>
      </x:c>
      <x:c r="Q73" s="18" t="n">
        <x:f>IF(I73=1,J73*(0.0013599938652549585*D73+0.014432794417975773)-C73,"")</x:f>
        <x:v>-6.741796724079563</x:v>
      </x:c>
      <x:c r="R73" s="18" t="n">
        <x:f>IF(I73=1,J73*D73/697.7877515437722-C73,"")</x:f>
        <x:v>-5.250762505267943</x:v>
      </x:c>
      <x:c r="S73" s="18" t="n">
        <x:f>IF(I73=1,J73*L73,0)</x:f>
        <x:v>339.2916666666667</x:v>
      </x:c>
      <x:c r="T73" s="18" t="n">
        <x:f>IF(I73=1,L73^2,0)</x:f>
        <x:v>0.5017361111111112</x:v>
      </x:c>
      <x:c r="U73" s="16" t="n">
        <x:f>IF(I73=1,J73,"")</x:f>
        <x:v>479</x:v>
      </x:c>
      <x:c r="V73" s="3" t="str">
        <x:v>完整頭腳；納入</x:v>
      </x:c>
    </x:row>
    <x:row r="74" ht="26" customHeight="1">
      <x:c r="A74" s="3" t="str">
        <x:v>170_yang/260 (1).jpg</x:v>
      </x:c>
      <x:c r="B74" s="3" t="str">
        <x:v>170_yang</x:v>
      </x:c>
      <x:c r="C74" s="16" t="n">
        <x:v>170</x:v>
      </x:c>
      <x:c r="D74" s="16" t="n">
        <x:v>260</x:v>
      </x:c>
      <x:c r="E74" s="16" t="n">
        <x:v>573</x:v>
      </x:c>
      <x:c r="F74" s="16" t="n">
        <x:v>173</x:v>
      </x:c>
      <x:c r="G74" s="16" t="n">
        <x:v>726</x:v>
      </x:c>
      <x:c r="H74" s="16" t="n">
        <x:v>616</x:v>
      </x:c>
      <x:c r="I74" s="16" t="n">
        <x:v>1</x:v>
      </x:c>
      <x:c r="J74" s="16" t="n">
        <x:f>H74-F74+1</x:f>
        <x:v>444</x:v>
      </x:c>
      <x:c r="K74" s="17" t="n">
        <x:f>IF(I74=1,C74/J74,"")</x:f>
        <x:v>0.38288288288288286</x:v>
      </x:c>
      <x:c r="L74" s="17" t="n">
        <x:f>C74/D74</x:f>
        <x:v>0.6538461538461539</x:v>
      </x:c>
      <x:c r="M74" s="18" t="n">
        <x:f>IF(I74=1,J74*('校正統計'!$B$7*D74+'校正統計'!$B$8),"")</x:f>
        <x:v>168.47844209592455</x:v>
      </x:c>
      <x:c r="N74" s="18" t="n">
        <x:f>IF(I74=1,M74-C74,"")</x:f>
        <x:v>-1.5215579040754506</x:v>
      </x:c>
      <x:c r="O74" s="18" t="n">
        <x:f>IF(I74=1,J74*D74/'校正統計'!$B$9,"")</x:f>
        <x:v>170.54887442987396</x:v>
      </x:c>
      <x:c r="P74" s="18" t="n">
        <x:f>IF(I74=1,O74-C74,"")</x:f>
        <x:v>0.5488744298739618</x:v>
      </x:c>
      <x:c r="Q74" s="18" t="n">
        <x:f>IF(I74=1,J74*(0.0013599938652549585*D74+0.014432794417975773)-C74,"")</x:f>
        <x:v>-6.594147473386357</x:v>
      </x:c>
      <x:c r="R74" s="18" t="n">
        <x:f>IF(I74=1,J74*D74/697.7877515437722-C74,"")</x:f>
        <x:v>-4.562874248504983</x:v>
      </x:c>
      <x:c r="S74" s="18" t="n">
        <x:f>IF(I74=1,J74*L74,0)</x:f>
        <x:v>290.3076923076923</x:v>
      </x:c>
      <x:c r="T74" s="18" t="n">
        <x:f>IF(I74=1,L74^2,0)</x:f>
        <x:v>0.4275147928994083</x:v>
      </x:c>
      <x:c r="U74" s="16" t="n">
        <x:f>IF(I74=1,J74,"")</x:f>
        <x:v>444</x:v>
      </x:c>
      <x:c r="V74" s="3" t="str">
        <x:v>完整頭腳；納入</x:v>
      </x:c>
    </x:row>
    <x:row r="75" ht="26" customHeight="1">
      <x:c r="A75" s="3" t="str">
        <x:v>170_yang/260 (2).jpg</x:v>
      </x:c>
      <x:c r="B75" s="3" t="str">
        <x:v>170_yang</x:v>
      </x:c>
      <x:c r="C75" s="16" t="n">
        <x:v>170</x:v>
      </x:c>
      <x:c r="D75" s="16" t="n">
        <x:v>260</x:v>
      </x:c>
      <x:c r="E75" s="16" t="n">
        <x:v>573</x:v>
      </x:c>
      <x:c r="F75" s="16" t="n">
        <x:v>176</x:v>
      </x:c>
      <x:c r="G75" s="16" t="n">
        <x:v>725</x:v>
      </x:c>
      <x:c r="H75" s="16" t="n">
        <x:v>617</x:v>
      </x:c>
      <x:c r="I75" s="16" t="n">
        <x:v>1</x:v>
      </x:c>
      <x:c r="J75" s="16" t="n">
        <x:f>H75-F75+1</x:f>
        <x:v>442</x:v>
      </x:c>
      <x:c r="K75" s="17" t="n">
        <x:f>IF(I75=1,C75/J75,"")</x:f>
        <x:v>0.38461538461538464</x:v>
      </x:c>
      <x:c r="L75" s="17" t="n">
        <x:f>C75/D75</x:f>
        <x:v>0.6538461538461539</x:v>
      </x:c>
      <x:c r="M75" s="18" t="n">
        <x:f>IF(I75=1,J75*('校正統計'!$B$7*D75+'校正統計'!$B$8),"")</x:f>
        <x:v>167.71953019459156</x:v>
      </x:c>
      <x:c r="N75" s="18" t="n">
        <x:f>IF(I75=1,M75-C75,"")</x:f>
        <x:v>-2.280469805408444</x:v>
      </x:c>
      <x:c r="O75" s="18" t="n">
        <x:f>IF(I75=1,J75*D75/'校正統計'!$B$9,"")</x:f>
        <x:v>169.78063625676643</x:v>
      </x:c>
      <x:c r="P75" s="18" t="n">
        <x:f>IF(I75=1,O75-C75,"")</x:f>
        <x:v>-0.219363743233572</x:v>
      </x:c>
      <x:c r="Q75" s="18" t="n">
        <x:f>IF(I75=1,J75*(0.0013599938652549585*D75+0.014432794417975773)-C75,"")</x:f>
        <x:v>-7.330209872154882</x:v>
      </x:c>
      <x:c r="R75" s="18" t="n">
        <x:f>IF(I75=1,J75*D75/697.7877515437722-C75,"")</x:f>
        <x:v>-5.30808652666488</x:v>
      </x:c>
      <x:c r="S75" s="18" t="n">
        <x:f>IF(I75=1,J75*L75,0)</x:f>
        <x:v>289</x:v>
      </x:c>
      <x:c r="T75" s="18" t="n">
        <x:f>IF(I75=1,L75^2,0)</x:f>
        <x:v>0.4275147928994083</x:v>
      </x:c>
      <x:c r="U75" s="16" t="n">
        <x:f>IF(I75=1,J75,"")</x:f>
        <x:v>442</x:v>
      </x:c>
      <x:c r="V75" s="3" t="str">
        <x:v>完整頭腳；納入</x:v>
      </x:c>
    </x:row>
    <x:row r="76" ht="26" customHeight="1">
      <x:c r="A76" s="3" t="str">
        <x:v>170_yang/260 (3).jpg</x:v>
      </x:c>
      <x:c r="B76" s="3" t="str">
        <x:v>170_yang</x:v>
      </x:c>
      <x:c r="C76" s="16" t="n">
        <x:v>170</x:v>
      </x:c>
      <x:c r="D76" s="16" t="n">
        <x:v>260</x:v>
      </x:c>
      <x:c r="E76" s="16" t="n">
        <x:v>575</x:v>
      </x:c>
      <x:c r="F76" s="16" t="n">
        <x:v>176</x:v>
      </x:c>
      <x:c r="G76" s="16" t="n">
        <x:v>725</x:v>
      </x:c>
      <x:c r="H76" s="16" t="n">
        <x:v>619</x:v>
      </x:c>
      <x:c r="I76" s="16" t="n">
        <x:v>1</x:v>
      </x:c>
      <x:c r="J76" s="16" t="n">
        <x:f>H76-F76+1</x:f>
        <x:v>444</x:v>
      </x:c>
      <x:c r="K76" s="17" t="n">
        <x:f>IF(I76=1,C76/J76,"")</x:f>
        <x:v>0.38288288288288286</x:v>
      </x:c>
      <x:c r="L76" s="17" t="n">
        <x:f>C76/D76</x:f>
        <x:v>0.6538461538461539</x:v>
      </x:c>
      <x:c r="M76" s="18" t="n">
        <x:f>IF(I76=1,J76*('校正統計'!$B$7*D76+'校正統計'!$B$8),"")</x:f>
        <x:v>168.47844209592455</x:v>
      </x:c>
      <x:c r="N76" s="18" t="n">
        <x:f>IF(I76=1,M76-C76,"")</x:f>
        <x:v>-1.5215579040754506</x:v>
      </x:c>
      <x:c r="O76" s="18" t="n">
        <x:f>IF(I76=1,J76*D76/'校正統計'!$B$9,"")</x:f>
        <x:v>170.54887442987396</x:v>
      </x:c>
      <x:c r="P76" s="18" t="n">
        <x:f>IF(I76=1,O76-C76,"")</x:f>
        <x:v>0.5488744298739618</x:v>
      </x:c>
      <x:c r="Q76" s="18" t="n">
        <x:f>IF(I76=1,J76*(0.0013599938652549585*D76+0.014432794417975773)-C76,"")</x:f>
        <x:v>-6.594147473386357</x:v>
      </x:c>
      <x:c r="R76" s="18" t="n">
        <x:f>IF(I76=1,J76*D76/697.7877515437722-C76,"")</x:f>
        <x:v>-4.562874248504983</x:v>
      </x:c>
      <x:c r="S76" s="18" t="n">
        <x:f>IF(I76=1,J76*L76,0)</x:f>
        <x:v>290.3076923076923</x:v>
      </x:c>
      <x:c r="T76" s="18" t="n">
        <x:f>IF(I76=1,L76^2,0)</x:f>
        <x:v>0.4275147928994083</x:v>
      </x:c>
      <x:c r="U76" s="16" t="n">
        <x:f>IF(I76=1,J76,"")</x:f>
        <x:v>444</x:v>
      </x:c>
      <x:c r="V76" s="3" t="str">
        <x:v>完整頭腳；納入</x:v>
      </x:c>
    </x:row>
    <x:row r="77" ht="26" customHeight="1">
      <x:c r="A77" s="3" t="str">
        <x:v>170_yang/260 (4).jpg</x:v>
      </x:c>
      <x:c r="B77" s="3" t="str">
        <x:v>170_yang</x:v>
      </x:c>
      <x:c r="C77" s="16" t="n">
        <x:v>170</x:v>
      </x:c>
      <x:c r="D77" s="16" t="n">
        <x:v>260</x:v>
      </x:c>
      <x:c r="E77" s="16" t="n">
        <x:v>575</x:v>
      </x:c>
      <x:c r="F77" s="16" t="n">
        <x:v>174</x:v>
      </x:c>
      <x:c r="G77" s="16" t="n">
        <x:v>725</x:v>
      </x:c>
      <x:c r="H77" s="16" t="n">
        <x:v>616</x:v>
      </x:c>
      <x:c r="I77" s="16" t="n">
        <x:v>1</x:v>
      </x:c>
      <x:c r="J77" s="16" t="n">
        <x:f>H77-F77+1</x:f>
        <x:v>443</x:v>
      </x:c>
      <x:c r="K77" s="17" t="n">
        <x:f>IF(I77=1,C77/J77,"")</x:f>
        <x:v>0.3837471783295711</x:v>
      </x:c>
      <x:c r="L77" s="17" t="n">
        <x:f>C77/D77</x:f>
        <x:v>0.6538461538461539</x:v>
      </x:c>
      <x:c r="M77" s="18" t="n">
        <x:f>IF(I77=1,J77*('校正統計'!$B$7*D77+'校正統計'!$B$8),"")</x:f>
        <x:v>168.09898614525804</x:v>
      </x:c>
      <x:c r="N77" s="18" t="n">
        <x:f>IF(I77=1,M77-C77,"")</x:f>
        <x:v>-1.9010138547419615</x:v>
      </x:c>
      <x:c r="O77" s="18" t="n">
        <x:f>IF(I77=1,J77*D77/'校正統計'!$B$9,"")</x:f>
        <x:v>170.1647553433202</x:v>
      </x:c>
      <x:c r="P77" s="18" t="n">
        <x:f>IF(I77=1,O77-C77,"")</x:f>
        <x:v>0.16475534332019492</x:v>
      </x:c>
      <x:c r="Q77" s="18" t="n">
        <x:f>IF(I77=1,J77*(0.0013599938652549585*D77+0.014432794417975773)-C77,"")</x:f>
        <x:v>-6.962178672770619</x:v>
      </x:c>
      <x:c r="R77" s="18" t="n">
        <x:f>IF(I77=1,J77*D77/697.7877515437722-C77,"")</x:f>
        <x:v>-4.935480387584931</x:v>
      </x:c>
      <x:c r="S77" s="18" t="n">
        <x:f>IF(I77=1,J77*L77,0)</x:f>
        <x:v>289.65384615384613</x:v>
      </x:c>
      <x:c r="T77" s="18" t="n">
        <x:f>IF(I77=1,L77^2,0)</x:f>
        <x:v>0.4275147928994083</x:v>
      </x:c>
      <x:c r="U77" s="16" t="n">
        <x:f>IF(I77=1,J77,"")</x:f>
        <x:v>443</x:v>
      </x:c>
      <x:c r="V77" s="3" t="str">
        <x:v>完整頭腳；納入</x:v>
      </x:c>
    </x:row>
    <x:row r="78" ht="26" customHeight="1">
      <x:c r="A78" s="3" t="str">
        <x:v>170_yang/260 (5).jpg</x:v>
      </x:c>
      <x:c r="B78" s="3" t="str">
        <x:v>170_yang</x:v>
      </x:c>
      <x:c r="C78" s="16" t="n">
        <x:v>170</x:v>
      </x:c>
      <x:c r="D78" s="16" t="n">
        <x:v>260</x:v>
      </x:c>
      <x:c r="E78" s="16" t="n">
        <x:v>572</x:v>
      </x:c>
      <x:c r="F78" s="16" t="n">
        <x:v>175</x:v>
      </x:c>
      <x:c r="G78" s="16" t="n">
        <x:v>724</x:v>
      </x:c>
      <x:c r="H78" s="16" t="n">
        <x:v>616</x:v>
      </x:c>
      <x:c r="I78" s="16" t="n">
        <x:v>1</x:v>
      </x:c>
      <x:c r="J78" s="16" t="n">
        <x:f>H78-F78+1</x:f>
        <x:v>442</x:v>
      </x:c>
      <x:c r="K78" s="17" t="n">
        <x:f>IF(I78=1,C78/J78,"")</x:f>
        <x:v>0.38461538461538464</x:v>
      </x:c>
      <x:c r="L78" s="17" t="n">
        <x:f>C78/D78</x:f>
        <x:v>0.6538461538461539</x:v>
      </x:c>
      <x:c r="M78" s="18" t="n">
        <x:f>IF(I78=1,J78*('校正統計'!$B$7*D78+'校正統計'!$B$8),"")</x:f>
        <x:v>167.71953019459156</x:v>
      </x:c>
      <x:c r="N78" s="18" t="n">
        <x:f>IF(I78=1,M78-C78,"")</x:f>
        <x:v>-2.280469805408444</x:v>
      </x:c>
      <x:c r="O78" s="18" t="n">
        <x:f>IF(I78=1,J78*D78/'校正統計'!$B$9,"")</x:f>
        <x:v>169.78063625676643</x:v>
      </x:c>
      <x:c r="P78" s="18" t="n">
        <x:f>IF(I78=1,O78-C78,"")</x:f>
        <x:v>-0.219363743233572</x:v>
      </x:c>
      <x:c r="Q78" s="18" t="n">
        <x:f>IF(I78=1,J78*(0.0013599938652549585*D78+0.014432794417975773)-C78,"")</x:f>
        <x:v>-7.330209872154882</x:v>
      </x:c>
      <x:c r="R78" s="18" t="n">
        <x:f>IF(I78=1,J78*D78/697.7877515437722-C78,"")</x:f>
        <x:v>-5.30808652666488</x:v>
      </x:c>
      <x:c r="S78" s="18" t="n">
        <x:f>IF(I78=1,J78*L78,0)</x:f>
        <x:v>289</x:v>
      </x:c>
      <x:c r="T78" s="18" t="n">
        <x:f>IF(I78=1,L78^2,0)</x:f>
        <x:v>0.4275147928994083</x:v>
      </x:c>
      <x:c r="U78" s="16" t="n">
        <x:f>IF(I78=1,J78,"")</x:f>
        <x:v>442</x:v>
      </x:c>
      <x:c r="V78" s="3" t="str">
        <x:v>完整頭腳；納入</x:v>
      </x:c>
    </x:row>
    <x:row r="79" ht="26" customHeight="1">
      <x:c r="A79" s="3" t="str">
        <x:v>170_yang/260 (6).jpg</x:v>
      </x:c>
      <x:c r="B79" s="3" t="str">
        <x:v>170_yang</x:v>
      </x:c>
      <x:c r="C79" s="16" t="n">
        <x:v>170</x:v>
      </x:c>
      <x:c r="D79" s="16" t="n">
        <x:v>260</x:v>
      </x:c>
      <x:c r="E79" s="16" t="n">
        <x:v>569</x:v>
      </x:c>
      <x:c r="F79" s="16" t="n">
        <x:v>175</x:v>
      </x:c>
      <x:c r="G79" s="16" t="n">
        <x:v>721</x:v>
      </x:c>
      <x:c r="H79" s="16" t="n">
        <x:v>617</x:v>
      </x:c>
      <x:c r="I79" s="16" t="n">
        <x:v>1</x:v>
      </x:c>
      <x:c r="J79" s="16" t="n">
        <x:f>H79-F79+1</x:f>
        <x:v>443</x:v>
      </x:c>
      <x:c r="K79" s="17" t="n">
        <x:f>IF(I79=1,C79/J79,"")</x:f>
        <x:v>0.3837471783295711</x:v>
      </x:c>
      <x:c r="L79" s="17" t="n">
        <x:f>C79/D79</x:f>
        <x:v>0.6538461538461539</x:v>
      </x:c>
      <x:c r="M79" s="18" t="n">
        <x:f>IF(I79=1,J79*('校正統計'!$B$7*D79+'校正統計'!$B$8),"")</x:f>
        <x:v>168.09898614525804</x:v>
      </x:c>
      <x:c r="N79" s="18" t="n">
        <x:f>IF(I79=1,M79-C79,"")</x:f>
        <x:v>-1.9010138547419615</x:v>
      </x:c>
      <x:c r="O79" s="18" t="n">
        <x:f>IF(I79=1,J79*D79/'校正統計'!$B$9,"")</x:f>
        <x:v>170.1647553433202</x:v>
      </x:c>
      <x:c r="P79" s="18" t="n">
        <x:f>IF(I79=1,O79-C79,"")</x:f>
        <x:v>0.16475534332019492</x:v>
      </x:c>
      <x:c r="Q79" s="18" t="n">
        <x:f>IF(I79=1,J79*(0.0013599938652549585*D79+0.014432794417975773)-C79,"")</x:f>
        <x:v>-6.962178672770619</x:v>
      </x:c>
      <x:c r="R79" s="18" t="n">
        <x:f>IF(I79=1,J79*D79/697.7877515437722-C79,"")</x:f>
        <x:v>-4.935480387584931</x:v>
      </x:c>
      <x:c r="S79" s="18" t="n">
        <x:f>IF(I79=1,J79*L79,0)</x:f>
        <x:v>289.65384615384613</x:v>
      </x:c>
      <x:c r="T79" s="18" t="n">
        <x:f>IF(I79=1,L79^2,0)</x:f>
        <x:v>0.4275147928994083</x:v>
      </x:c>
      <x:c r="U79" s="16" t="n">
        <x:f>IF(I79=1,J79,"")</x:f>
        <x:v>443</x:v>
      </x:c>
      <x:c r="V79" s="3" t="str">
        <x:v>完整頭腳；納入</x:v>
      </x:c>
    </x:row>
    <x:row r="80" ht="26" customHeight="1">
      <x:c r="A80" s="3" t="str">
        <x:v>170_yang/260 (7).jpg</x:v>
      </x:c>
      <x:c r="B80" s="3" t="str">
        <x:v>170_yang</x:v>
      </x:c>
      <x:c r="C80" s="16" t="n">
        <x:v>170</x:v>
      </x:c>
      <x:c r="D80" s="16" t="n">
        <x:v>260</x:v>
      </x:c>
      <x:c r="E80" s="16" t="n">
        <x:v>567</x:v>
      </x:c>
      <x:c r="F80" s="16" t="n">
        <x:v>176</x:v>
      </x:c>
      <x:c r="G80" s="16" t="n">
        <x:v>721</x:v>
      </x:c>
      <x:c r="H80" s="16" t="n">
        <x:v>619</x:v>
      </x:c>
      <x:c r="I80" s="16" t="n">
        <x:v>1</x:v>
      </x:c>
      <x:c r="J80" s="16" t="n">
        <x:f>H80-F80+1</x:f>
        <x:v>444</x:v>
      </x:c>
      <x:c r="K80" s="17" t="n">
        <x:f>IF(I80=1,C80/J80,"")</x:f>
        <x:v>0.38288288288288286</x:v>
      </x:c>
      <x:c r="L80" s="17" t="n">
        <x:f>C80/D80</x:f>
        <x:v>0.6538461538461539</x:v>
      </x:c>
      <x:c r="M80" s="18" t="n">
        <x:f>IF(I80=1,J80*('校正統計'!$B$7*D80+'校正統計'!$B$8),"")</x:f>
        <x:v>168.47844209592455</x:v>
      </x:c>
      <x:c r="N80" s="18" t="n">
        <x:f>IF(I80=1,M80-C80,"")</x:f>
        <x:v>-1.5215579040754506</x:v>
      </x:c>
      <x:c r="O80" s="18" t="n">
        <x:f>IF(I80=1,J80*D80/'校正統計'!$B$9,"")</x:f>
        <x:v>170.54887442987396</x:v>
      </x:c>
      <x:c r="P80" s="18" t="n">
        <x:f>IF(I80=1,O80-C80,"")</x:f>
        <x:v>0.5488744298739618</x:v>
      </x:c>
      <x:c r="Q80" s="18" t="n">
        <x:f>IF(I80=1,J80*(0.0013599938652549585*D80+0.014432794417975773)-C80,"")</x:f>
        <x:v>-6.594147473386357</x:v>
      </x:c>
      <x:c r="R80" s="18" t="n">
        <x:f>IF(I80=1,J80*D80/697.7877515437722-C80,"")</x:f>
        <x:v>-4.562874248504983</x:v>
      </x:c>
      <x:c r="S80" s="18" t="n">
        <x:f>IF(I80=1,J80*L80,0)</x:f>
        <x:v>290.3076923076923</x:v>
      </x:c>
      <x:c r="T80" s="18" t="n">
        <x:f>IF(I80=1,L80^2,0)</x:f>
        <x:v>0.4275147928994083</x:v>
      </x:c>
      <x:c r="U80" s="16" t="n">
        <x:f>IF(I80=1,J80,"")</x:f>
        <x:v>444</x:v>
      </x:c>
      <x:c r="V80" s="3" t="str">
        <x:v>完整頭腳；納入</x:v>
      </x:c>
    </x:row>
    <x:row r="81" ht="26" customHeight="1">
      <x:c r="A81" s="3" t="str">
        <x:v>170_yang/260 (8).jpg</x:v>
      </x:c>
      <x:c r="B81" s="3" t="str">
        <x:v>170_yang</x:v>
      </x:c>
      <x:c r="C81" s="16" t="n">
        <x:v>170</x:v>
      </x:c>
      <x:c r="D81" s="16" t="n">
        <x:v>260</x:v>
      </x:c>
      <x:c r="E81" s="16" t="n">
        <x:v>567</x:v>
      </x:c>
      <x:c r="F81" s="16" t="n">
        <x:v>179</x:v>
      </x:c>
      <x:c r="G81" s="16" t="n">
        <x:v>721</x:v>
      </x:c>
      <x:c r="H81" s="16" t="n">
        <x:v>619</x:v>
      </x:c>
      <x:c r="I81" s="16" t="n">
        <x:v>1</x:v>
      </x:c>
      <x:c r="J81" s="16" t="n">
        <x:f>H81-F81+1</x:f>
        <x:v>441</x:v>
      </x:c>
      <x:c r="K81" s="17" t="n">
        <x:f>IF(I81=1,C81/J81,"")</x:f>
        <x:v>0.3854875283446712</x:v>
      </x:c>
      <x:c r="L81" s="17" t="n">
        <x:f>C81/D81</x:f>
        <x:v>0.6538461538461539</x:v>
      </x:c>
      <x:c r="M81" s="18" t="n">
        <x:f>IF(I81=1,J81*('校正統計'!$B$7*D81+'校正統計'!$B$8),"")</x:f>
        <x:v>167.34007424392507</x:v>
      </x:c>
      <x:c r="N81" s="18" t="n">
        <x:f>IF(I81=1,M81-C81,"")</x:f>
        <x:v>-2.6599257560749265</x:v>
      </x:c>
      <x:c r="O81" s="18" t="n">
        <x:f>IF(I81=1,J81*D81/'校正統計'!$B$9,"")</x:f>
        <x:v>169.39651717021266</x:v>
      </x:c>
      <x:c r="P81" s="18" t="n">
        <x:f>IF(I81=1,O81-C81,"")</x:f>
        <x:v>-0.6034828297873389</x:v>
      </x:c>
      <x:c r="Q81" s="18" t="n">
        <x:f>IF(I81=1,J81*(0.0013599938652549585*D81+0.014432794417975773)-C81,"")</x:f>
        <x:v>-7.698241071539144</x:v>
      </x:c>
      <x:c r="R81" s="18" t="n">
        <x:f>IF(I81=1,J81*D81/697.7877515437722-C81,"")</x:f>
        <x:v>-5.6806926657448</x:v>
      </x:c>
      <x:c r="S81" s="18" t="n">
        <x:f>IF(I81=1,J81*L81,0)</x:f>
        <x:v>288.34615384615387</x:v>
      </x:c>
      <x:c r="T81" s="18" t="n">
        <x:f>IF(I81=1,L81^2,0)</x:f>
        <x:v>0.4275147928994083</x:v>
      </x:c>
      <x:c r="U81" s="16" t="n">
        <x:f>IF(I81=1,J81,"")</x:f>
        <x:v>441</x:v>
      </x:c>
      <x:c r="V81" s="3" t="str">
        <x:v>完整頭腳；納入</x:v>
      </x:c>
    </x:row>
    <x:row r="82" ht="26" customHeight="1">
      <x:c r="A82" s="3" t="str">
        <x:v>170_yang/260 (9).jpg</x:v>
      </x:c>
      <x:c r="B82" s="3" t="str">
        <x:v>170_yang</x:v>
      </x:c>
      <x:c r="C82" s="16" t="n">
        <x:v>170</x:v>
      </x:c>
      <x:c r="D82" s="16" t="n">
        <x:v>260</x:v>
      </x:c>
      <x:c r="E82" s="16" t="n">
        <x:v>567</x:v>
      </x:c>
      <x:c r="F82" s="16" t="n">
        <x:v>178</x:v>
      </x:c>
      <x:c r="G82" s="16" t="n">
        <x:v>721</x:v>
      </x:c>
      <x:c r="H82" s="16" t="n">
        <x:v>619</x:v>
      </x:c>
      <x:c r="I82" s="16" t="n">
        <x:v>1</x:v>
      </x:c>
      <x:c r="J82" s="16" t="n">
        <x:f>H82-F82+1</x:f>
        <x:v>442</x:v>
      </x:c>
      <x:c r="K82" s="17" t="n">
        <x:f>IF(I82=1,C82/J82,"")</x:f>
        <x:v>0.38461538461538464</x:v>
      </x:c>
      <x:c r="L82" s="17" t="n">
        <x:f>C82/D82</x:f>
        <x:v>0.6538461538461539</x:v>
      </x:c>
      <x:c r="M82" s="18" t="n">
        <x:f>IF(I82=1,J82*('校正統計'!$B$7*D82+'校正統計'!$B$8),"")</x:f>
        <x:v>167.71953019459156</x:v>
      </x:c>
      <x:c r="N82" s="18" t="n">
        <x:f>IF(I82=1,M82-C82,"")</x:f>
        <x:v>-2.280469805408444</x:v>
      </x:c>
      <x:c r="O82" s="18" t="n">
        <x:f>IF(I82=1,J82*D82/'校正統計'!$B$9,"")</x:f>
        <x:v>169.78063625676643</x:v>
      </x:c>
      <x:c r="P82" s="18" t="n">
        <x:f>IF(I82=1,O82-C82,"")</x:f>
        <x:v>-0.219363743233572</x:v>
      </x:c>
      <x:c r="Q82" s="18" t="n">
        <x:f>IF(I82=1,J82*(0.0013599938652549585*D82+0.014432794417975773)-C82,"")</x:f>
        <x:v>-7.330209872154882</x:v>
      </x:c>
      <x:c r="R82" s="18" t="n">
        <x:f>IF(I82=1,J82*D82/697.7877515437722-C82,"")</x:f>
        <x:v>-5.30808652666488</x:v>
      </x:c>
      <x:c r="S82" s="18" t="n">
        <x:f>IF(I82=1,J82*L82,0)</x:f>
        <x:v>289</x:v>
      </x:c>
      <x:c r="T82" s="18" t="n">
        <x:f>IF(I82=1,L82^2,0)</x:f>
        <x:v>0.4275147928994083</x:v>
      </x:c>
      <x:c r="U82" s="16" t="n">
        <x:f>IF(I82=1,J82,"")</x:f>
        <x:v>442</x:v>
      </x:c>
      <x:c r="V82" s="3" t="str">
        <x:v>完整頭腳；納入</x:v>
      </x:c>
    </x:row>
    <x:row r="83" ht="26" customHeight="1">
      <x:c r="A83" s="3" t="str">
        <x:v>170_yang/260 (10).jpg</x:v>
      </x:c>
      <x:c r="B83" s="3" t="str">
        <x:v>170_yang</x:v>
      </x:c>
      <x:c r="C83" s="16" t="n">
        <x:v>170</x:v>
      </x:c>
      <x:c r="D83" s="16" t="n">
        <x:v>260</x:v>
      </x:c>
      <x:c r="E83" s="16" t="n">
        <x:v>568</x:v>
      </x:c>
      <x:c r="F83" s="16" t="n">
        <x:v>176</x:v>
      </x:c>
      <x:c r="G83" s="16" t="n">
        <x:v>721</x:v>
      </x:c>
      <x:c r="H83" s="16" t="n">
        <x:v>618</x:v>
      </x:c>
      <x:c r="I83" s="16" t="n">
        <x:v>1</x:v>
      </x:c>
      <x:c r="J83" s="16" t="n">
        <x:f>H83-F83+1</x:f>
        <x:v>443</x:v>
      </x:c>
      <x:c r="K83" s="17" t="n">
        <x:f>IF(I83=1,C83/J83,"")</x:f>
        <x:v>0.3837471783295711</x:v>
      </x:c>
      <x:c r="L83" s="17" t="n">
        <x:f>C83/D83</x:f>
        <x:v>0.6538461538461539</x:v>
      </x:c>
      <x:c r="M83" s="18" t="n">
        <x:f>IF(I83=1,J83*('校正統計'!$B$7*D83+'校正統計'!$B$8),"")</x:f>
        <x:v>168.09898614525804</x:v>
      </x:c>
      <x:c r="N83" s="18" t="n">
        <x:f>IF(I83=1,M83-C83,"")</x:f>
        <x:v>-1.9010138547419615</x:v>
      </x:c>
      <x:c r="O83" s="18" t="n">
        <x:f>IF(I83=1,J83*D83/'校正統計'!$B$9,"")</x:f>
        <x:v>170.1647553433202</x:v>
      </x:c>
      <x:c r="P83" s="18" t="n">
        <x:f>IF(I83=1,O83-C83,"")</x:f>
        <x:v>0.16475534332019492</x:v>
      </x:c>
      <x:c r="Q83" s="18" t="n">
        <x:f>IF(I83=1,J83*(0.0013599938652549585*D83+0.014432794417975773)-C83,"")</x:f>
        <x:v>-6.962178672770619</x:v>
      </x:c>
      <x:c r="R83" s="18" t="n">
        <x:f>IF(I83=1,J83*D83/697.7877515437722-C83,"")</x:f>
        <x:v>-4.935480387584931</x:v>
      </x:c>
      <x:c r="S83" s="18" t="n">
        <x:f>IF(I83=1,J83*L83,0)</x:f>
        <x:v>289.65384615384613</x:v>
      </x:c>
      <x:c r="T83" s="18" t="n">
        <x:f>IF(I83=1,L83^2,0)</x:f>
        <x:v>0.4275147928994083</x:v>
      </x:c>
      <x:c r="U83" s="16" t="n">
        <x:f>IF(I83=1,J83,"")</x:f>
        <x:v>443</x:v>
      </x:c>
      <x:c r="V83" s="3" t="str">
        <x:v>完整頭腳；納入</x:v>
      </x:c>
    </x:row>
    <x:row r="84" ht="26" customHeight="1">
      <x:c r="A84" s="3" t="str">
        <x:v>170_yang/300 (1).jpg</x:v>
      </x:c>
      <x:c r="B84" s="3" t="str">
        <x:v>170_yang</x:v>
      </x:c>
      <x:c r="C84" s="16" t="n">
        <x:v>170</x:v>
      </x:c>
      <x:c r="D84" s="16" t="n">
        <x:v>300</x:v>
      </x:c>
      <x:c r="E84" s="16" t="n">
        <x:v>580</x:v>
      </x:c>
      <x:c r="F84" s="16" t="n">
        <x:v>210</x:v>
      </x:c>
      <x:c r="G84" s="16" t="n">
        <x:v>702</x:v>
      </x:c>
      <x:c r="H84" s="16" t="n">
        <x:v>598</x:v>
      </x:c>
      <x:c r="I84" s="16" t="n">
        <x:v>1</x:v>
      </x:c>
      <x:c r="J84" s="16" t="n">
        <x:f>H84-F84+1</x:f>
        <x:v>389</x:v>
      </x:c>
      <x:c r="K84" s="17" t="n">
        <x:f>IF(I84=1,C84/J84,"")</x:f>
        <x:v>0.4370179948586118</x:v>
      </x:c>
      <x:c r="L84" s="17" t="n">
        <x:f>C84/D84</x:f>
        <x:v>0.5666666666666667</x:v>
      </x:c>
      <x:c r="M84" s="18" t="n">
        <x:f>IF(I84=1,J84*('校正統計'!$B$7*D84+'校正統計'!$B$8),"")</x:f>
        <x:v>168.996936263262</x:v>
      </x:c>
      <x:c r="N84" s="18" t="n">
        <x:f>IF(I84=1,M84-C84,"")</x:f>
        <x:v>-1.0030637367379995</x:v>
      </x:c>
      <x:c r="O84" s="18" t="n">
        <x:f>IF(I84=1,J84*D84/'校正統計'!$B$9,"")</x:f>
        <x:v>172.41037461855763</x:v>
      </x:c>
      <x:c r="P84" s="18" t="n">
        <x:f>IF(I84=1,O84-C84,"")</x:f>
        <x:v>2.4103746185576256</x:v>
      </x:c>
      <x:c r="Q84" s="18" t="n">
        <x:f>IF(I84=1,J84*(0.0013599938652549585*D84+0.014432794417975773)-C84,"")</x:f>
        <x:v>-5.6743588961537625</x:v>
      </x:c>
      <x:c r="R84" s="18" t="n">
        <x:f>IF(I84=1,J84*D84/697.7877515437722-C84,"")</x:f>
        <x:v>-2.7571675745021764</x:v>
      </x:c>
      <x:c r="S84" s="18" t="n">
        <x:f>IF(I84=1,J84*L84,0)</x:f>
        <x:v>220.43333333333334</x:v>
      </x:c>
      <x:c r="T84" s="18" t="n">
        <x:f>IF(I84=1,L84^2,0)</x:f>
        <x:v>0.32111111111111107</x:v>
      </x:c>
      <x:c r="U84" s="16" t="n">
        <x:f>IF(I84=1,J84,"")</x:f>
        <x:v>389</x:v>
      </x:c>
      <x:c r="V84" s="3" t="str">
        <x:v>完整頭腳；納入</x:v>
      </x:c>
    </x:row>
    <x:row r="85" ht="26" customHeight="1">
      <x:c r="A85" s="3" t="str">
        <x:v>170_yang/300 (2).jpg</x:v>
      </x:c>
      <x:c r="B85" s="3" t="str">
        <x:v>170_yang</x:v>
      </x:c>
      <x:c r="C85" s="16" t="n">
        <x:v>170</x:v>
      </x:c>
      <x:c r="D85" s="16" t="n">
        <x:v>300</x:v>
      </x:c>
      <x:c r="E85" s="16" t="n">
        <x:v>579</x:v>
      </x:c>
      <x:c r="F85" s="16" t="n">
        <x:v>208</x:v>
      </x:c>
      <x:c r="G85" s="16" t="n">
        <x:v>702</x:v>
      </x:c>
      <x:c r="H85" s="16" t="n">
        <x:v>596</x:v>
      </x:c>
      <x:c r="I85" s="16" t="n">
        <x:v>1</x:v>
      </x:c>
      <x:c r="J85" s="16" t="n">
        <x:f>H85-F85+1</x:f>
        <x:v>389</x:v>
      </x:c>
      <x:c r="K85" s="17" t="n">
        <x:f>IF(I85=1,C85/J85,"")</x:f>
        <x:v>0.4370179948586118</x:v>
      </x:c>
      <x:c r="L85" s="17" t="n">
        <x:f>C85/D85</x:f>
        <x:v>0.5666666666666667</x:v>
      </x:c>
      <x:c r="M85" s="18" t="n">
        <x:f>IF(I85=1,J85*('校正統計'!$B$7*D85+'校正統計'!$B$8),"")</x:f>
        <x:v>168.996936263262</x:v>
      </x:c>
      <x:c r="N85" s="18" t="n">
        <x:f>IF(I85=1,M85-C85,"")</x:f>
        <x:v>-1.0030637367379995</x:v>
      </x:c>
      <x:c r="O85" s="18" t="n">
        <x:f>IF(I85=1,J85*D85/'校正統計'!$B$9,"")</x:f>
        <x:v>172.41037461855763</x:v>
      </x:c>
      <x:c r="P85" s="18" t="n">
        <x:f>IF(I85=1,O85-C85,"")</x:f>
        <x:v>2.4103746185576256</x:v>
      </x:c>
      <x:c r="Q85" s="18" t="n">
        <x:f>IF(I85=1,J85*(0.0013599938652549585*D85+0.014432794417975773)-C85,"")</x:f>
        <x:v>-5.6743588961537625</x:v>
      </x:c>
      <x:c r="R85" s="18" t="n">
        <x:f>IF(I85=1,J85*D85/697.7877515437722-C85,"")</x:f>
        <x:v>-2.7571675745021764</x:v>
      </x:c>
      <x:c r="S85" s="18" t="n">
        <x:f>IF(I85=1,J85*L85,0)</x:f>
        <x:v>220.43333333333334</x:v>
      </x:c>
      <x:c r="T85" s="18" t="n">
        <x:f>IF(I85=1,L85^2,0)</x:f>
        <x:v>0.32111111111111107</x:v>
      </x:c>
      <x:c r="U85" s="16" t="n">
        <x:f>IF(I85=1,J85,"")</x:f>
        <x:v>389</x:v>
      </x:c>
      <x:c r="V85" s="3" t="str">
        <x:v>完整頭腳；納入</x:v>
      </x:c>
    </x:row>
    <x:row r="86" ht="26" customHeight="1">
      <x:c r="A86" s="3" t="str">
        <x:v>170_yang/300 (3).jpg</x:v>
      </x:c>
      <x:c r="B86" s="3" t="str">
        <x:v>170_yang</x:v>
      </x:c>
      <x:c r="C86" s="16" t="n">
        <x:v>170</x:v>
      </x:c>
      <x:c r="D86" s="16" t="n">
        <x:v>300</x:v>
      </x:c>
      <x:c r="E86" s="16" t="n">
        <x:v>581</x:v>
      </x:c>
      <x:c r="F86" s="16" t="n">
        <x:v>205</x:v>
      </x:c>
      <x:c r="G86" s="16" t="n">
        <x:v>702</x:v>
      </x:c>
      <x:c r="H86" s="16" t="n">
        <x:v>593</x:v>
      </x:c>
      <x:c r="I86" s="16" t="n">
        <x:v>1</x:v>
      </x:c>
      <x:c r="J86" s="16" t="n">
        <x:f>H86-F86+1</x:f>
        <x:v>389</x:v>
      </x:c>
      <x:c r="K86" s="17" t="n">
        <x:f>IF(I86=1,C86/J86,"")</x:f>
        <x:v>0.4370179948586118</x:v>
      </x:c>
      <x:c r="L86" s="17" t="n">
        <x:f>C86/D86</x:f>
        <x:v>0.5666666666666667</x:v>
      </x:c>
      <x:c r="M86" s="18" t="n">
        <x:f>IF(I86=1,J86*('校正統計'!$B$7*D86+'校正統計'!$B$8),"")</x:f>
        <x:v>168.996936263262</x:v>
      </x:c>
      <x:c r="N86" s="18" t="n">
        <x:f>IF(I86=1,M86-C86,"")</x:f>
        <x:v>-1.0030637367379995</x:v>
      </x:c>
      <x:c r="O86" s="18" t="n">
        <x:f>IF(I86=1,J86*D86/'校正統計'!$B$9,"")</x:f>
        <x:v>172.41037461855763</x:v>
      </x:c>
      <x:c r="P86" s="18" t="n">
        <x:f>IF(I86=1,O86-C86,"")</x:f>
        <x:v>2.4103746185576256</x:v>
      </x:c>
      <x:c r="Q86" s="18" t="n">
        <x:f>IF(I86=1,J86*(0.0013599938652549585*D86+0.014432794417975773)-C86,"")</x:f>
        <x:v>-5.6743588961537625</x:v>
      </x:c>
      <x:c r="R86" s="18" t="n">
        <x:f>IF(I86=1,J86*D86/697.7877515437722-C86,"")</x:f>
        <x:v>-2.7571675745021764</x:v>
      </x:c>
      <x:c r="S86" s="18" t="n">
        <x:f>IF(I86=1,J86*L86,0)</x:f>
        <x:v>220.43333333333334</x:v>
      </x:c>
      <x:c r="T86" s="18" t="n">
        <x:f>IF(I86=1,L86^2,0)</x:f>
        <x:v>0.32111111111111107</x:v>
      </x:c>
      <x:c r="U86" s="16" t="n">
        <x:f>IF(I86=1,J86,"")</x:f>
        <x:v>389</x:v>
      </x:c>
      <x:c r="V86" s="3" t="str">
        <x:v>完整頭腳；納入</x:v>
      </x:c>
    </x:row>
    <x:row r="87" ht="26" customHeight="1">
      <x:c r="A87" s="3" t="str">
        <x:v>170_yang/300 (4).jpg</x:v>
      </x:c>
      <x:c r="B87" s="3" t="str">
        <x:v>170_yang</x:v>
      </x:c>
      <x:c r="C87" s="16" t="n">
        <x:v>170</x:v>
      </x:c>
      <x:c r="D87" s="16" t="n">
        <x:v>300</x:v>
      </x:c>
      <x:c r="E87" s="16" t="n">
        <x:v>579</x:v>
      </x:c>
      <x:c r="F87" s="16" t="n">
        <x:v>205</x:v>
      </x:c>
      <x:c r="G87" s="16" t="n">
        <x:v>702</x:v>
      </x:c>
      <x:c r="H87" s="16" t="n">
        <x:v>593</x:v>
      </x:c>
      <x:c r="I87" s="16" t="n">
        <x:v>1</x:v>
      </x:c>
      <x:c r="J87" s="16" t="n">
        <x:f>H87-F87+1</x:f>
        <x:v>389</x:v>
      </x:c>
      <x:c r="K87" s="17" t="n">
        <x:f>IF(I87=1,C87/J87,"")</x:f>
        <x:v>0.4370179948586118</x:v>
      </x:c>
      <x:c r="L87" s="17" t="n">
        <x:f>C87/D87</x:f>
        <x:v>0.5666666666666667</x:v>
      </x:c>
      <x:c r="M87" s="18" t="n">
        <x:f>IF(I87=1,J87*('校正統計'!$B$7*D87+'校正統計'!$B$8),"")</x:f>
        <x:v>168.996936263262</x:v>
      </x:c>
      <x:c r="N87" s="18" t="n">
        <x:f>IF(I87=1,M87-C87,"")</x:f>
        <x:v>-1.0030637367379995</x:v>
      </x:c>
      <x:c r="O87" s="18" t="n">
        <x:f>IF(I87=1,J87*D87/'校正統計'!$B$9,"")</x:f>
        <x:v>172.41037461855763</x:v>
      </x:c>
      <x:c r="P87" s="18" t="n">
        <x:f>IF(I87=1,O87-C87,"")</x:f>
        <x:v>2.4103746185576256</x:v>
      </x:c>
      <x:c r="Q87" s="18" t="n">
        <x:f>IF(I87=1,J87*(0.0013599938652549585*D87+0.014432794417975773)-C87,"")</x:f>
        <x:v>-5.6743588961537625</x:v>
      </x:c>
      <x:c r="R87" s="18" t="n">
        <x:f>IF(I87=1,J87*D87/697.7877515437722-C87,"")</x:f>
        <x:v>-2.7571675745021764</x:v>
      </x:c>
      <x:c r="S87" s="18" t="n">
        <x:f>IF(I87=1,J87*L87,0)</x:f>
        <x:v>220.43333333333334</x:v>
      </x:c>
      <x:c r="T87" s="18" t="n">
        <x:f>IF(I87=1,L87^2,0)</x:f>
        <x:v>0.32111111111111107</x:v>
      </x:c>
      <x:c r="U87" s="16" t="n">
        <x:f>IF(I87=1,J87,"")</x:f>
        <x:v>389</x:v>
      </x:c>
      <x:c r="V87" s="3" t="str">
        <x:v>完整頭腳；納入</x:v>
      </x:c>
    </x:row>
    <x:row r="88" ht="26" customHeight="1">
      <x:c r="A88" s="3" t="str">
        <x:v>170_yang/300 (5).jpg</x:v>
      </x:c>
      <x:c r="B88" s="3" t="str">
        <x:v>170_yang</x:v>
      </x:c>
      <x:c r="C88" s="16" t="n">
        <x:v>170</x:v>
      </x:c>
      <x:c r="D88" s="16" t="n">
        <x:v>300</x:v>
      </x:c>
      <x:c r="E88" s="16" t="n">
        <x:v>578</x:v>
      </x:c>
      <x:c r="F88" s="16" t="n">
        <x:v>204</x:v>
      </x:c>
      <x:c r="G88" s="16" t="n">
        <x:v>703</x:v>
      </x:c>
      <x:c r="H88" s="16" t="n">
        <x:v>591</x:v>
      </x:c>
      <x:c r="I88" s="16" t="n">
        <x:v>1</x:v>
      </x:c>
      <x:c r="J88" s="16" t="n">
        <x:f>H88-F88+1</x:f>
        <x:v>388</x:v>
      </x:c>
      <x:c r="K88" s="17" t="n">
        <x:f>IF(I88=1,C88/J88,"")</x:f>
        <x:v>0.4381443298969072</x:v>
      </x:c>
      <x:c r="L88" s="17" t="n">
        <x:f>C88/D88</x:f>
        <x:v>0.5666666666666667</x:v>
      </x:c>
      <x:c r="M88" s="18" t="n">
        <x:f>IF(I88=1,J88*('校正統計'!$B$7*D88+'校正統計'!$B$8),"")</x:f>
        <x:v>168.5624968384207</x:v>
      </x:c>
      <x:c r="N88" s="18" t="n">
        <x:f>IF(I88=1,M88-C88,"")</x:f>
        <x:v>-1.4375031615792864</x:v>
      </x:c>
      <x:c r="O88" s="18" t="n">
        <x:f>IF(I88=1,J88*D88/'校正統計'!$B$9,"")</x:f>
        <x:v>171.96716028791866</x:v>
      </x:c>
      <x:c r="P88" s="18" t="n">
        <x:f>IF(I88=1,O88-C88,"")</x:f>
        <x:v>1.9671602879186594</x:v>
      </x:c>
      <x:c r="Q88" s="18" t="n">
        <x:f>IF(I88=1,J88*(0.0013599938652549585*D88+0.014432794417975773)-C88,"")</x:f>
        <x:v>-6.0967898501482125</x:v>
      </x:c>
      <x:c r="R88" s="18" t="n">
        <x:f>IF(I88=1,J88*D88/697.7877515437722-C88,"")</x:f>
        <x:v>-3.1870977349790337</x:v>
      </x:c>
      <x:c r="S88" s="18" t="n">
        <x:f>IF(I88=1,J88*L88,0)</x:f>
        <x:v>219.86666666666667</x:v>
      </x:c>
      <x:c r="T88" s="18" t="n">
        <x:f>IF(I88=1,L88^2,0)</x:f>
        <x:v>0.32111111111111107</x:v>
      </x:c>
      <x:c r="U88" s="16" t="n">
        <x:f>IF(I88=1,J88,"")</x:f>
        <x:v>388</x:v>
      </x:c>
      <x:c r="V88" s="3" t="str">
        <x:v>完整頭腳；納入</x:v>
      </x:c>
    </x:row>
    <x:row r="89" ht="26" customHeight="1">
      <x:c r="A89" s="3" t="str">
        <x:v>170_yang/300 (6).jpg</x:v>
      </x:c>
      <x:c r="B89" s="3" t="str">
        <x:v>170_yang</x:v>
      </x:c>
      <x:c r="C89" s="16" t="n">
        <x:v>170</x:v>
      </x:c>
      <x:c r="D89" s="16" t="n">
        <x:v>300</x:v>
      </x:c>
      <x:c r="E89" s="16" t="n">
        <x:v>578</x:v>
      </x:c>
      <x:c r="F89" s="16" t="n">
        <x:v>206</x:v>
      </x:c>
      <x:c r="G89" s="16" t="n">
        <x:v>702</x:v>
      </x:c>
      <x:c r="H89" s="16" t="n">
        <x:v>593</x:v>
      </x:c>
      <x:c r="I89" s="16" t="n">
        <x:v>1</x:v>
      </x:c>
      <x:c r="J89" s="16" t="n">
        <x:f>H89-F89+1</x:f>
        <x:v>388</x:v>
      </x:c>
      <x:c r="K89" s="17" t="n">
        <x:f>IF(I89=1,C89/J89,"")</x:f>
        <x:v>0.4381443298969072</x:v>
      </x:c>
      <x:c r="L89" s="17" t="n">
        <x:f>C89/D89</x:f>
        <x:v>0.5666666666666667</x:v>
      </x:c>
      <x:c r="M89" s="18" t="n">
        <x:f>IF(I89=1,J89*('校正統計'!$B$7*D89+'校正統計'!$B$8),"")</x:f>
        <x:v>168.5624968384207</x:v>
      </x:c>
      <x:c r="N89" s="18" t="n">
        <x:f>IF(I89=1,M89-C89,"")</x:f>
        <x:v>-1.4375031615792864</x:v>
      </x:c>
      <x:c r="O89" s="18" t="n">
        <x:f>IF(I89=1,J89*D89/'校正統計'!$B$9,"")</x:f>
        <x:v>171.96716028791866</x:v>
      </x:c>
      <x:c r="P89" s="18" t="n">
        <x:f>IF(I89=1,O89-C89,"")</x:f>
        <x:v>1.9671602879186594</x:v>
      </x:c>
      <x:c r="Q89" s="18" t="n">
        <x:f>IF(I89=1,J89*(0.0013599938652549585*D89+0.014432794417975773)-C89,"")</x:f>
        <x:v>-6.0967898501482125</x:v>
      </x:c>
      <x:c r="R89" s="18" t="n">
        <x:f>IF(I89=1,J89*D89/697.7877515437722-C89,"")</x:f>
        <x:v>-3.1870977349790337</x:v>
      </x:c>
      <x:c r="S89" s="18" t="n">
        <x:f>IF(I89=1,J89*L89,0)</x:f>
        <x:v>219.86666666666667</x:v>
      </x:c>
      <x:c r="T89" s="18" t="n">
        <x:f>IF(I89=1,L89^2,0)</x:f>
        <x:v>0.32111111111111107</x:v>
      </x:c>
      <x:c r="U89" s="16" t="n">
        <x:f>IF(I89=1,J89,"")</x:f>
        <x:v>388</x:v>
      </x:c>
      <x:c r="V89" s="3" t="str">
        <x:v>完整頭腳；納入</x:v>
      </x:c>
    </x:row>
    <x:row r="90" ht="26" customHeight="1">
      <x:c r="A90" s="3" t="str">
        <x:v>173_wang/180_1.jpg</x:v>
      </x:c>
      <x:c r="B90" s="3" t="str">
        <x:v>173_wang</x:v>
      </x:c>
      <x:c r="C90" s="16" t="n">
        <x:v>173</x:v>
      </x:c>
      <x:c r="D90" s="16" t="n">
        <x:v>180</x:v>
      </x:c>
      <x:c r="E90" s="16" t="n">
        <x:v>496</x:v>
      </x:c>
      <x:c r="F90" s="16" t="n">
        <x:v>20</x:v>
      </x:c>
      <x:c r="G90" s="16" t="n">
        <x:v>707</x:v>
      </x:c>
      <x:c r="H90" s="16" t="n">
        <x:v>689</x:v>
      </x:c>
      <x:c r="I90" s="16" t="n">
        <x:v>1</x:v>
      </x:c>
      <x:c r="J90" s="16" t="n">
        <x:f>H90-F90+1</x:f>
        <x:v>670</x:v>
      </x:c>
      <x:c r="K90" s="17" t="n">
        <x:f>IF(I90=1,C90/J90,"")</x:f>
        <x:v>0.2582089552238806</x:v>
      </x:c>
      <x:c r="L90" s="17" t="n">
        <x:f>C90/D90</x:f>
        <x:v>0.9611111111111111</x:v>
      </x:c>
      <x:c r="M90" s="18" t="n">
        <x:f>IF(I90=1,J90*('校正統計'!$B$7*D90+'校正統計'!$B$8),"")</x:f>
        <x:v>180.5576315523292</x:v>
      </x:c>
      <x:c r="N90" s="18" t="n">
        <x:f>IF(I90=1,M90-C90,"")</x:f>
        <x:v>7.557631552329212</x:v>
      </x:c>
      <x:c r="O90" s="18" t="n">
        <x:f>IF(I90=1,J90*D90/'校正統計'!$B$9,"")</x:f>
        <x:v>178.1721609168642</x:v>
      </x:c>
      <x:c r="P90" s="18" t="n">
        <x:f>IF(I90=1,O90-C90,"")</x:f>
        <x:v>5.172160916864186</x:v>
      </x:c>
      <x:c r="Q90" s="18" t="n">
        <x:f>IF(I90=1,J90*(0.0013599938652549585*D90+0.014432794417975773)-C90,"")</x:f>
        <x:v>0.6852324097917801</x:v>
      </x:c>
      <x:c r="R90" s="18" t="n">
        <x:f>IF(I90=1,J90*D90/697.7877515437722-C90,"")</x:f>
        <x:v>-0.16807548830303176</x:v>
      </x:c>
      <x:c r="S90" s="18" t="n">
        <x:f>IF(I90=1,J90*L90,0)</x:f>
        <x:v>643.9444444444445</x:v>
      </x:c>
      <x:c r="T90" s="18" t="n">
        <x:f>IF(I90=1,L90^2,0)</x:f>
        <x:v>0.9237345679012346</x:v>
      </x:c>
      <x:c r="U90" s="16" t="n">
        <x:f>IF(I90=1,J90,"")</x:f>
        <x:v>670</x:v>
      </x:c>
      <x:c r="V90" s="3" t="str">
        <x:v>完整頭腳；納入</x:v>
      </x:c>
    </x:row>
    <x:row r="91" ht="26" customHeight="1">
      <x:c r="A91" s="3" t="str">
        <x:v>173_wang/180_2.jpg</x:v>
      </x:c>
      <x:c r="B91" s="3" t="str">
        <x:v>173_wang</x:v>
      </x:c>
      <x:c r="C91" s="16" t="n">
        <x:v>173</x:v>
      </x:c>
      <x:c r="D91" s="16" t="n">
        <x:v>180</x:v>
      </x:c>
      <x:c r="E91" s="16" t="n">
        <x:v>489</x:v>
      </x:c>
      <x:c r="F91" s="16" t="n">
        <x:v>5</x:v>
      </x:c>
      <x:c r="G91" s="16" t="n">
        <x:v>700</x:v>
      </x:c>
      <x:c r="H91" s="16" t="n">
        <x:v>674</x:v>
      </x:c>
      <x:c r="I91" s="16" t="n">
        <x:v>1</x:v>
      </x:c>
      <x:c r="J91" s="16" t="n">
        <x:f>H91-F91+1</x:f>
        <x:v>670</x:v>
      </x:c>
      <x:c r="K91" s="17" t="n">
        <x:f>IF(I91=1,C91/J91,"")</x:f>
        <x:v>0.2582089552238806</x:v>
      </x:c>
      <x:c r="L91" s="17" t="n">
        <x:f>C91/D91</x:f>
        <x:v>0.9611111111111111</x:v>
      </x:c>
      <x:c r="M91" s="18" t="n">
        <x:f>IF(I91=1,J91*('校正統計'!$B$7*D91+'校正統計'!$B$8),"")</x:f>
        <x:v>180.5576315523292</x:v>
      </x:c>
      <x:c r="N91" s="18" t="n">
        <x:f>IF(I91=1,M91-C91,"")</x:f>
        <x:v>7.557631552329212</x:v>
      </x:c>
      <x:c r="O91" s="18" t="n">
        <x:f>IF(I91=1,J91*D91/'校正統計'!$B$9,"")</x:f>
        <x:v>178.1721609168642</x:v>
      </x:c>
      <x:c r="P91" s="18" t="n">
        <x:f>IF(I91=1,O91-C91,"")</x:f>
        <x:v>5.172160916864186</x:v>
      </x:c>
      <x:c r="Q91" s="18" t="n">
        <x:f>IF(I91=1,J91*(0.0013599938652549585*D91+0.014432794417975773)-C91,"")</x:f>
        <x:v>0.6852324097917801</x:v>
      </x:c>
      <x:c r="R91" s="18" t="n">
        <x:f>IF(I91=1,J91*D91/697.7877515437722-C91,"")</x:f>
        <x:v>-0.16807548830303176</x:v>
      </x:c>
      <x:c r="S91" s="18" t="n">
        <x:f>IF(I91=1,J91*L91,0)</x:f>
        <x:v>643.9444444444445</x:v>
      </x:c>
      <x:c r="T91" s="18" t="n">
        <x:f>IF(I91=1,L91^2,0)</x:f>
        <x:v>0.9237345679012346</x:v>
      </x:c>
      <x:c r="U91" s="16" t="n">
        <x:f>IF(I91=1,J91,"")</x:f>
        <x:v>670</x:v>
      </x:c>
      <x:c r="V91" s="3" t="str">
        <x:v>完整頭腳；納入</x:v>
      </x:c>
    </x:row>
    <x:row r="92" ht="26" customHeight="1">
      <x:c r="A92" s="3" t="str">
        <x:v>173_wang/180_3.jpg</x:v>
      </x:c>
      <x:c r="B92" s="3" t="str">
        <x:v>173_wang</x:v>
      </x:c>
      <x:c r="C92" s="16" t="n">
        <x:v>173</x:v>
      </x:c>
      <x:c r="D92" s="16" t="n">
        <x:v>180</x:v>
      </x:c>
      <x:c r="E92" s="16" t="n">
        <x:v>488</x:v>
      </x:c>
      <x:c r="F92" s="16" t="n">
        <x:v>5</x:v>
      </x:c>
      <x:c r="G92" s="16" t="n">
        <x:v>696</x:v>
      </x:c>
      <x:c r="H92" s="16" t="n">
        <x:v>674</x:v>
      </x:c>
      <x:c r="I92" s="16" t="n">
        <x:v>1</x:v>
      </x:c>
      <x:c r="J92" s="16" t="n">
        <x:f>H92-F92+1</x:f>
        <x:v>670</x:v>
      </x:c>
      <x:c r="K92" s="17" t="n">
        <x:f>IF(I92=1,C92/J92,"")</x:f>
        <x:v>0.2582089552238806</x:v>
      </x:c>
      <x:c r="L92" s="17" t="n">
        <x:f>C92/D92</x:f>
        <x:v>0.9611111111111111</x:v>
      </x:c>
      <x:c r="M92" s="18" t="n">
        <x:f>IF(I92=1,J92*('校正統計'!$B$7*D92+'校正統計'!$B$8),"")</x:f>
        <x:v>180.5576315523292</x:v>
      </x:c>
      <x:c r="N92" s="18" t="n">
        <x:f>IF(I92=1,M92-C92,"")</x:f>
        <x:v>7.557631552329212</x:v>
      </x:c>
      <x:c r="O92" s="18" t="n">
        <x:f>IF(I92=1,J92*D92/'校正統計'!$B$9,"")</x:f>
        <x:v>178.1721609168642</x:v>
      </x:c>
      <x:c r="P92" s="18" t="n">
        <x:f>IF(I92=1,O92-C92,"")</x:f>
        <x:v>5.172160916864186</x:v>
      </x:c>
      <x:c r="Q92" s="18" t="n">
        <x:f>IF(I92=1,J92*(0.0013599938652549585*D92+0.014432794417975773)-C92,"")</x:f>
        <x:v>0.6852324097917801</x:v>
      </x:c>
      <x:c r="R92" s="18" t="n">
        <x:f>IF(I92=1,J92*D92/697.7877515437722-C92,"")</x:f>
        <x:v>-0.16807548830303176</x:v>
      </x:c>
      <x:c r="S92" s="18" t="n">
        <x:f>IF(I92=1,J92*L92,0)</x:f>
        <x:v>643.9444444444445</x:v>
      </x:c>
      <x:c r="T92" s="18" t="n">
        <x:f>IF(I92=1,L92^2,0)</x:f>
        <x:v>0.9237345679012346</x:v>
      </x:c>
      <x:c r="U92" s="16" t="n">
        <x:f>IF(I92=1,J92,"")</x:f>
        <x:v>670</x:v>
      </x:c>
      <x:c r="V92" s="3" t="str">
        <x:v>完整頭腳；納入</x:v>
      </x:c>
    </x:row>
    <x:row r="93" ht="26" customHeight="1">
      <x:c r="A93" s="3" t="str">
        <x:v>173_wang/180_4.jpg</x:v>
      </x:c>
      <x:c r="B93" s="3" t="str">
        <x:v>173_wang</x:v>
      </x:c>
      <x:c r="C93" s="16" t="n">
        <x:v>173</x:v>
      </x:c>
      <x:c r="D93" s="16" t="n">
        <x:v>180</x:v>
      </x:c>
      <x:c r="E93" s="16" t="n">
        <x:v>487</x:v>
      </x:c>
      <x:c r="F93" s="16" t="n">
        <x:v>10</x:v>
      </x:c>
      <x:c r="G93" s="16" t="n">
        <x:v>698</x:v>
      </x:c>
      <x:c r="H93" s="16" t="n">
        <x:v>677</x:v>
      </x:c>
      <x:c r="I93" s="16" t="n">
        <x:v>1</x:v>
      </x:c>
      <x:c r="J93" s="16" t="n">
        <x:f>H93-F93+1</x:f>
        <x:v>668</x:v>
      </x:c>
      <x:c r="K93" s="17" t="n">
        <x:f>IF(I93=1,C93/J93,"")</x:f>
        <x:v>0.25898203592814373</x:v>
      </x:c>
      <x:c r="L93" s="17" t="n">
        <x:f>C93/D93</x:f>
        <x:v>0.9611111111111111</x:v>
      </x:c>
      <x:c r="M93" s="18" t="n">
        <x:f>IF(I93=1,J93*('校正統計'!$B$7*D93+'校正統計'!$B$8),"")</x:f>
        <x:v>180.01865354769538</x:v>
      </x:c>
      <x:c r="N93" s="18" t="n">
        <x:f>IF(I93=1,M93-C93,"")</x:f>
        <x:v>7.018653547695379</x:v>
      </x:c>
      <x:c r="O93" s="18" t="n">
        <x:f>IF(I93=1,J93*D93/'校正統計'!$B$9,"")</x:f>
        <x:v>177.64030372009742</x:v>
      </x:c>
      <x:c r="P93" s="18" t="n">
        <x:f>IF(I93=1,O93-C93,"")</x:f>
        <x:v>4.640303720097421</x:v>
      </x:c>
      <x:c r="Q93" s="18" t="n">
        <x:f>IF(I93=1,J93*(0.0013599938652549585*D93+0.014432794417975773)-C93,"")</x:f>
        <x:v>0.16676902946403516</x:v>
      </x:c>
      <x:c r="R93" s="18" t="n">
        <x:f>IF(I93=1,J93*D93/697.7877515437722-C93,"")</x:f>
        <x:v>-0.6839916808752378</x:v>
      </x:c>
      <x:c r="S93" s="18" t="n">
        <x:f>IF(I93=1,J93*L93,0)</x:f>
        <x:v>642.0222222222222</x:v>
      </x:c>
      <x:c r="T93" s="18" t="n">
        <x:f>IF(I93=1,L93^2,0)</x:f>
        <x:v>0.9237345679012346</x:v>
      </x:c>
      <x:c r="U93" s="16" t="n">
        <x:f>IF(I93=1,J93,"")</x:f>
        <x:v>668</x:v>
      </x:c>
      <x:c r="V93" s="3" t="str">
        <x:v>完整頭腳；納入</x:v>
      </x:c>
    </x:row>
    <x:row r="94" ht="26" customHeight="1">
      <x:c r="A94" s="3" t="str">
        <x:v>173_wang/180_5.jpg</x:v>
      </x:c>
      <x:c r="B94" s="3" t="str">
        <x:v>173_wang</x:v>
      </x:c>
      <x:c r="C94" s="16" t="n">
        <x:v>173</x:v>
      </x:c>
      <x:c r="D94" s="16" t="n">
        <x:v>180</x:v>
      </x:c>
      <x:c r="E94" s="16" t="n">
        <x:v>491</x:v>
      </x:c>
      <x:c r="F94" s="16" t="n">
        <x:v>7</x:v>
      </x:c>
      <x:c r="G94" s="16" t="n">
        <x:v>700</x:v>
      </x:c>
      <x:c r="H94" s="16" t="n">
        <x:v>675</x:v>
      </x:c>
      <x:c r="I94" s="16" t="n">
        <x:v>1</x:v>
      </x:c>
      <x:c r="J94" s="16" t="n">
        <x:f>H94-F94+1</x:f>
        <x:v>669</x:v>
      </x:c>
      <x:c r="K94" s="17" t="n">
        <x:f>IF(I94=1,C94/J94,"")</x:f>
        <x:v>0.2585949177877429</x:v>
      </x:c>
      <x:c r="L94" s="17" t="n">
        <x:f>C94/D94</x:f>
        <x:v>0.9611111111111111</x:v>
      </x:c>
      <x:c r="M94" s="18" t="n">
        <x:f>IF(I94=1,J94*('校正統計'!$B$7*D94+'校正統計'!$B$8),"")</x:f>
        <x:v>180.28814255001228</x:v>
      </x:c>
      <x:c r="N94" s="18" t="n">
        <x:f>IF(I94=1,M94-C94,"")</x:f>
        <x:v>7.288142550012282</x:v>
      </x:c>
      <x:c r="O94" s="18" t="n">
        <x:f>IF(I94=1,J94*D94/'校正統計'!$B$9,"")</x:f>
        <x:v>177.9062323184808</x:v>
      </x:c>
      <x:c r="P94" s="18" t="n">
        <x:f>IF(I94=1,O94-C94,"")</x:f>
        <x:v>4.9062323184807894</x:v>
      </x:c>
      <x:c r="Q94" s="18" t="n">
        <x:f>IF(I94=1,J94*(0.0013599938652549585*D94+0.014432794417975773)-C94,"")</x:f>
        <x:v>0.42600071962792185</x:v>
      </x:c>
      <x:c r="R94" s="18" t="n">
        <x:f>IF(I94=1,J94*D94/697.7877515437722-C94,"")</x:f>
        <x:v>-0.42603358458913476</x:v>
      </x:c>
      <x:c r="S94" s="18" t="n">
        <x:f>IF(I94=1,J94*L94,0)</x:f>
        <x:v>642.9833333333333</x:v>
      </x:c>
      <x:c r="T94" s="18" t="n">
        <x:f>IF(I94=1,L94^2,0)</x:f>
        <x:v>0.9237345679012346</x:v>
      </x:c>
      <x:c r="U94" s="16" t="n">
        <x:f>IF(I94=1,J94,"")</x:f>
        <x:v>669</x:v>
      </x:c>
      <x:c r="V94" s="3" t="str">
        <x:v>完整頭腳；納入</x:v>
      </x:c>
    </x:row>
    <x:row r="95" ht="26" customHeight="1">
      <x:c r="A95" s="3" t="str">
        <x:v>173_wang/190_1.jpg</x:v>
      </x:c>
      <x:c r="B95" s="3" t="str">
        <x:v>173_wang</x:v>
      </x:c>
      <x:c r="C95" s="16" t="n">
        <x:v>173</x:v>
      </x:c>
      <x:c r="D95" s="16" t="n">
        <x:v>190</x:v>
      </x:c>
      <x:c r="E95" s="16" t="n">
        <x:v>448</x:v>
      </x:c>
      <x:c r="F95" s="16" t="n">
        <x:v>8</x:v>
      </x:c>
      <x:c r="G95" s="16" t="n">
        <x:v>647</x:v>
      </x:c>
      <x:c r="H95" s="16" t="n">
        <x:v>639</x:v>
      </x:c>
      <x:c r="I95" s="16" t="n">
        <x:v>1</x:v>
      </x:c>
      <x:c r="J95" s="16" t="n">
        <x:f>H95-F95+1</x:f>
        <x:v>632</x:v>
      </x:c>
      <x:c r="K95" s="17" t="n">
        <x:f>IF(I95=1,C95/J95,"")</x:f>
        <x:v>0.2737341772151899</x:v>
      </x:c>
      <x:c r="L95" s="17" t="n">
        <x:f>C95/D95</x:f>
        <x:v>0.9105263157894737</x:v>
      </x:c>
      <x:c r="M95" s="18" t="n">
        <x:f>IF(I95=1,J95*('校正統計'!$B$7*D95+'校正統計'!$B$8),"")</x:f>
        <x:v>179.00443838390407</x:v>
      </x:c>
      <x:c r="N95" s="18" t="n">
        <x:f>IF(I95=1,M95-C95,"")</x:f>
        <x:v>6.004438383904073</x:v>
      </x:c>
      <x:c r="O95" s="18" t="n">
        <x:f>IF(I95=1,J95*D95/'校正統計'!$B$9,"")</x:f>
        <x:v>177.40392274375665</x:v>
      </x:c>
      <x:c r="P95" s="18" t="n">
        <x:f>IF(I95=1,O95-C95,"")</x:f>
        <x:v>4.403922743756652</x:v>
      </x:c>
      <x:c r="Q95" s="18" t="n">
        <x:f>IF(I95=1,J95*(0.0013599938652549585*D95+0.014432794417975773)-C95,"")</x:f>
        <x:v>-0.5704105880238615</x:v>
      </x:c>
      <x:c r="R95" s="18" t="n">
        <x:f>IF(I95=1,J95*D95/697.7877515437722-C95,"")</x:f>
        <x:v>-0.9132877664629007</x:v>
      </x:c>
      <x:c r="S95" s="18" t="n">
        <x:f>IF(I95=1,J95*L95,0)</x:f>
        <x:v>575.4526315789474</x:v>
      </x:c>
      <x:c r="T95" s="18" t="n">
        <x:f>IF(I95=1,L95^2,0)</x:f>
        <x:v>0.8290581717451525</x:v>
      </x:c>
      <x:c r="U95" s="16" t="n">
        <x:f>IF(I95=1,J95,"")</x:f>
        <x:v>632</x:v>
      </x:c>
      <x:c r="V95" s="3" t="str">
        <x:v>完整頭腳；納入</x:v>
      </x:c>
    </x:row>
    <x:row r="96" ht="26" customHeight="1">
      <x:c r="A96" s="3" t="str">
        <x:v>173_wang/190_2.jpg</x:v>
      </x:c>
      <x:c r="B96" s="3" t="str">
        <x:v>173_wang</x:v>
      </x:c>
      <x:c r="C96" s="16" t="n">
        <x:v>173</x:v>
      </x:c>
      <x:c r="D96" s="16" t="n">
        <x:v>190</x:v>
      </x:c>
      <x:c r="E96" s="16" t="n">
        <x:v>468</x:v>
      </x:c>
      <x:c r="F96" s="16" t="n">
        <x:v>6</x:v>
      </x:c>
      <x:c r="G96" s="16" t="n">
        <x:v>661</x:v>
      </x:c>
      <x:c r="H96" s="16" t="n">
        <x:v>637</x:v>
      </x:c>
      <x:c r="I96" s="16" t="n">
        <x:v>1</x:v>
      </x:c>
      <x:c r="J96" s="16" t="n">
        <x:f>H96-F96+1</x:f>
        <x:v>632</x:v>
      </x:c>
      <x:c r="K96" s="17" t="n">
        <x:f>IF(I96=1,C96/J96,"")</x:f>
        <x:v>0.2737341772151899</x:v>
      </x:c>
      <x:c r="L96" s="17" t="n">
        <x:f>C96/D96</x:f>
        <x:v>0.9105263157894737</x:v>
      </x:c>
      <x:c r="M96" s="18" t="n">
        <x:f>IF(I96=1,J96*('校正統計'!$B$7*D96+'校正統計'!$B$8),"")</x:f>
        <x:v>179.00443838390407</x:v>
      </x:c>
      <x:c r="N96" s="18" t="n">
        <x:f>IF(I96=1,M96-C96,"")</x:f>
        <x:v>6.004438383904073</x:v>
      </x:c>
      <x:c r="O96" s="18" t="n">
        <x:f>IF(I96=1,J96*D96/'校正統計'!$B$9,"")</x:f>
        <x:v>177.40392274375665</x:v>
      </x:c>
      <x:c r="P96" s="18" t="n">
        <x:f>IF(I96=1,O96-C96,"")</x:f>
        <x:v>4.403922743756652</x:v>
      </x:c>
      <x:c r="Q96" s="18" t="n">
        <x:f>IF(I96=1,J96*(0.0013599938652549585*D96+0.014432794417975773)-C96,"")</x:f>
        <x:v>-0.5704105880238615</x:v>
      </x:c>
      <x:c r="R96" s="18" t="n">
        <x:f>IF(I96=1,J96*D96/697.7877515437722-C96,"")</x:f>
        <x:v>-0.9132877664629007</x:v>
      </x:c>
      <x:c r="S96" s="18" t="n">
        <x:f>IF(I96=1,J96*L96,0)</x:f>
        <x:v>575.4526315789474</x:v>
      </x:c>
      <x:c r="T96" s="18" t="n">
        <x:f>IF(I96=1,L96^2,0)</x:f>
        <x:v>0.8290581717451525</x:v>
      </x:c>
      <x:c r="U96" s="16" t="n">
        <x:f>IF(I96=1,J96,"")</x:f>
        <x:v>632</x:v>
      </x:c>
      <x:c r="V96" s="3" t="str">
        <x:v>完整頭腳；納入</x:v>
      </x:c>
    </x:row>
    <x:row r="97" ht="26" customHeight="1">
      <x:c r="A97" s="3" t="str">
        <x:v>173_wang/190_3.jpg</x:v>
      </x:c>
      <x:c r="B97" s="3" t="str">
        <x:v>173_wang</x:v>
      </x:c>
      <x:c r="C97" s="16" t="n">
        <x:v>173</x:v>
      </x:c>
      <x:c r="D97" s="16" t="n">
        <x:v>190</x:v>
      </x:c>
      <x:c r="E97" s="16" t="n">
        <x:v>469</x:v>
      </x:c>
      <x:c r="F97" s="16" t="n">
        <x:v>10</x:v>
      </x:c>
      <x:c r="G97" s="16" t="n">
        <x:v>663</x:v>
      </x:c>
      <x:c r="H97" s="16" t="n">
        <x:v>639</x:v>
      </x:c>
      <x:c r="I97" s="16" t="n">
        <x:v>1</x:v>
      </x:c>
      <x:c r="J97" s="16" t="n">
        <x:f>H97-F97+1</x:f>
        <x:v>630</x:v>
      </x:c>
      <x:c r="K97" s="17" t="n">
        <x:f>IF(I97=1,C97/J97,"")</x:f>
        <x:v>0.2746031746031746</x:v>
      </x:c>
      <x:c r="L97" s="17" t="n">
        <x:f>C97/D97</x:f>
        <x:v>0.9105263157894737</x:v>
      </x:c>
      <x:c r="M97" s="18" t="n">
        <x:f>IF(I97=1,J97*('校正統計'!$B$7*D97+'校正統計'!$B$8),"")</x:f>
        <x:v>178.43796864218285</x:v>
      </x:c>
      <x:c r="N97" s="18" t="n">
        <x:f>IF(I97=1,M97-C97,"")</x:f>
        <x:v>5.437968642182852</x:v>
      </x:c>
      <x:c r="O97" s="18" t="n">
        <x:f>IF(I97=1,J97*D97/'校正統計'!$B$9,"")</x:f>
        <x:v>176.8425179249473</x:v>
      </x:c>
      <x:c r="P97" s="18" t="n">
        <x:f>IF(I97=1,O97-C97,"")</x:f>
        <x:v>3.8425179249472876</x:v>
      </x:c>
      <x:c r="Q97" s="18" t="n">
        <x:f>IF(I97=1,J97*(0.0013599938652549585*D97+0.014432794417975773)-C97,"")</x:f>
        <x:v>-1.1160738456567003</x:v>
      </x:c>
      <x:c r="R97" s="18" t="n">
        <x:f>IF(I97=1,J97*D97/697.7877515437722-C97,"")</x:f>
        <x:v>-1.4578659697336036</x:v>
      </x:c>
      <x:c r="S97" s="18" t="n">
        <x:f>IF(I97=1,J97*L97,0)</x:f>
        <x:v>573.6315789473684</x:v>
      </x:c>
      <x:c r="T97" s="18" t="n">
        <x:f>IF(I97=1,L97^2,0)</x:f>
        <x:v>0.8290581717451525</x:v>
      </x:c>
      <x:c r="U97" s="16" t="n">
        <x:f>IF(I97=1,J97,"")</x:f>
        <x:v>630</x:v>
      </x:c>
      <x:c r="V97" s="3" t="str">
        <x:v>完整頭腳；納入</x:v>
      </x:c>
    </x:row>
    <x:row r="98" ht="26" customHeight="1">
      <x:c r="A98" s="3" t="str">
        <x:v>173_wang/190_4.jpg</x:v>
      </x:c>
      <x:c r="B98" s="3" t="str">
        <x:v>173_wang</x:v>
      </x:c>
      <x:c r="C98" s="16" t="n">
        <x:v>173</x:v>
      </x:c>
      <x:c r="D98" s="16" t="n">
        <x:v>190</x:v>
      </x:c>
      <x:c r="E98" s="16" t="n">
        <x:v>464</x:v>
      </x:c>
      <x:c r="F98" s="16" t="n">
        <x:v>6</x:v>
      </x:c>
      <x:c r="G98" s="16" t="n">
        <x:v>659</x:v>
      </x:c>
      <x:c r="H98" s="16" t="n">
        <x:v>633</x:v>
      </x:c>
      <x:c r="I98" s="16" t="n">
        <x:v>1</x:v>
      </x:c>
      <x:c r="J98" s="16" t="n">
        <x:f>H98-F98+1</x:f>
        <x:v>628</x:v>
      </x:c>
      <x:c r="K98" s="17" t="n">
        <x:f>IF(I98=1,C98/J98,"")</x:f>
        <x:v>0.2754777070063694</x:v>
      </x:c>
      <x:c r="L98" s="17" t="n">
        <x:f>C98/D98</x:f>
        <x:v>0.9105263157894737</x:v>
      </x:c>
      <x:c r="M98" s="18" t="n">
        <x:f>IF(I98=1,J98*('校正統計'!$B$7*D98+'校正統計'!$B$8),"")</x:f>
        <x:v>177.87149890046166</x:v>
      </x:c>
      <x:c r="N98" s="18" t="n">
        <x:f>IF(I98=1,M98-C98,"")</x:f>
        <x:v>4.87149890046166</x:v>
      </x:c>
      <x:c r="O98" s="18" t="n">
        <x:f>IF(I98=1,J98*D98/'校正統計'!$B$9,"")</x:f>
        <x:v>176.28111310613792</x:v>
      </x:c>
      <x:c r="P98" s="18" t="n">
        <x:f>IF(I98=1,O98-C98,"")</x:f>
        <x:v>3.281113106137923</x:v>
      </x:c>
      <x:c r="Q98" s="18" t="n">
        <x:f>IF(I98=1,J98*(0.0013599938652549585*D98+0.014432794417975773)-C98,"")</x:f>
        <x:v>-1.6617371032895392</x:v>
      </x:c>
      <x:c r="R98" s="18" t="n">
        <x:f>IF(I98=1,J98*D98/697.7877515437722-C98,"")</x:f>
        <x:v>-2.002444173004278</x:v>
      </x:c>
      <x:c r="S98" s="18" t="n">
        <x:f>IF(I98=1,J98*L98,0)</x:f>
        <x:v>571.8105263157895</x:v>
      </x:c>
      <x:c r="T98" s="18" t="n">
        <x:f>IF(I98=1,L98^2,0)</x:f>
        <x:v>0.8290581717451525</x:v>
      </x:c>
      <x:c r="U98" s="16" t="n">
        <x:f>IF(I98=1,J98,"")</x:f>
        <x:v>628</x:v>
      </x:c>
      <x:c r="V98" s="3" t="str">
        <x:v>完整頭腳；納入</x:v>
      </x:c>
    </x:row>
    <x:row r="99" ht="26" customHeight="1">
      <x:c r="A99" s="3" t="str">
        <x:v>173_wang/190_5.jpg</x:v>
      </x:c>
      <x:c r="B99" s="3" t="str">
        <x:v>173_wang</x:v>
      </x:c>
      <x:c r="C99" s="16" t="n">
        <x:v>173</x:v>
      </x:c>
      <x:c r="D99" s="16" t="n">
        <x:v>190</x:v>
      </x:c>
      <x:c r="E99" s="16" t="n">
        <x:v>459</x:v>
      </x:c>
      <x:c r="F99" s="16" t="n">
        <x:v>0</x:v>
      </x:c>
      <x:c r="G99" s="16" t="n">
        <x:v>651</x:v>
      </x:c>
      <x:c r="H99" s="16" t="n">
        <x:v>629</x:v>
      </x:c>
      <x:c r="I99" s="16" t="n">
        <x:v>0</x:v>
      </x:c>
      <x:c r="J99" s="16" t="n">
        <x:f>H99-F99+1</x:f>
        <x:v>630</x:v>
      </x:c>
      <x:c r="K99" s="17" t="str">
        <x:f>IF(I99=1,C99/J99,"")</x:f>
      </x:c>
      <x:c r="L99" s="17" t="n">
        <x:f>C99/D99</x:f>
        <x:v>0.9105263157894737</x:v>
      </x:c>
      <x:c r="M99" s="18" t="str">
        <x:f>IF(I99=1,J99*('校正統計'!$B$7*D99+'校正統計'!$B$8),"")</x:f>
      </x:c>
      <x:c r="N99" s="18" t="str">
        <x:f>IF(I99=1,M99-C99,"")</x:f>
      </x:c>
      <x:c r="O99" s="18" t="str">
        <x:f>IF(I99=1,J99*D99/'校正統計'!$B$9,"")</x:f>
      </x:c>
      <x:c r="P99" s="18" t="str">
        <x:f>IF(I99=1,O99-C99,"")</x:f>
      </x:c>
      <x:c r="Q99" s="18" t="str">
        <x:f>IF(I99=1,J99*(0.0013599938652549585*D99+0.014432794417975773)-C99,"")</x:f>
      </x:c>
      <x:c r="R99" s="18" t="str">
        <x:f>IF(I99=1,J99*D99/697.7877515437722-C99,"")</x:f>
      </x:c>
      <x:c r="S99" s="18" t="n">
        <x:f>IF(I99=1,J99*L99,0)</x:f>
        <x:v>0</x:v>
      </x:c>
      <x:c r="T99" s="18" t="n">
        <x:f>IF(I99=1,L99^2,0)</x:f>
        <x:v>0</x:v>
      </x:c>
      <x:c r="U99" s="16" t="str">
        <x:f>IF(I99=1,J99,"")</x:f>
      </x:c>
      <x:c r="V99" s="3" t="str">
        <x:v>頭頂疑似裁切；僅可見高度</x:v>
      </x:c>
    </x:row>
    <x:row r="100" ht="26" customHeight="1">
      <x:c r="A100" s="3" t="str">
        <x:v>173_wang/200_1.jpg</x:v>
      </x:c>
      <x:c r="B100" s="3" t="str">
        <x:v>173_wang</x:v>
      </x:c>
      <x:c r="C100" s="16" t="n">
        <x:v>173</x:v>
      </x:c>
      <x:c r="D100" s="16" t="n">
        <x:v>200</x:v>
      </x:c>
      <x:c r="E100" s="16" t="n">
        <x:v>484</x:v>
      </x:c>
      <x:c r="F100" s="16" t="n">
        <x:v>45</x:v>
      </x:c>
      <x:c r="G100" s="16" t="n">
        <x:v>682</x:v>
      </x:c>
      <x:c r="H100" s="16" t="n">
        <x:v>650</x:v>
      </x:c>
      <x:c r="I100" s="16" t="n">
        <x:v>1</x:v>
      </x:c>
      <x:c r="J100" s="16" t="n">
        <x:f>H100-F100+1</x:f>
        <x:v>606</x:v>
      </x:c>
      <x:c r="K100" s="17" t="n">
        <x:f>IF(I100=1,C100/J100,"")</x:f>
        <x:v>0.2854785478547855</x:v>
      </x:c>
      <x:c r="L100" s="17" t="n">
        <x:f>C100/D100</x:f>
        <x:v>0.865</x:v>
      </x:c>
      <x:c r="M100" s="18" t="n">
        <x:f>IF(I100=1,J100*('校正統計'!$B$7*D100+'校正統計'!$B$8),"")</x:f>
        <x:v>179.97032807900953</x:v>
      </x:c>
      <x:c r="N100" s="18" t="n">
        <x:f>IF(I100=1,M100-C100,"")</x:f>
        <x:v>6.970328079009533</x:v>
      </x:c>
      <x:c r="O100" s="18" t="n">
        <x:f>IF(I100=1,J100*D100/'校正統計'!$B$9,"")</x:f>
        <x:v>179.05858957814212</x:v>
      </x:c>
      <x:c r="P100" s="18" t="n">
        <x:f>IF(I100=1,O100-C100,"")</x:f>
        <x:v>6.058589578142119</x:v>
      </x:c>
      <x:c r="Q100" s="18" t="n">
        <x:f>IF(I100=1,J100*(0.0013599938652549585*D100+0.014432794417975773)-C100,"")</x:f>
        <x:v>0.5775298861942986</x:v>
      </x:c>
      <x:c r="R100" s="18" t="n">
        <x:f>IF(I100=1,J100*D100/697.7877515437722-C100,"")</x:f>
        <x:v>0.6917848326506828</x:v>
      </x:c>
      <x:c r="S100" s="18" t="n">
        <x:f>IF(I100=1,J100*L100,0)</x:f>
        <x:v>524.1899999999999</x:v>
      </x:c>
      <x:c r="T100" s="18" t="n">
        <x:f>IF(I100=1,L100^2,0)</x:f>
        <x:v>0.748225</x:v>
      </x:c>
      <x:c r="U100" s="16" t="n">
        <x:f>IF(I100=1,J100,"")</x:f>
        <x:v>606</x:v>
      </x:c>
      <x:c r="V100" s="3" t="str">
        <x:v>完整頭腳；納入</x:v>
      </x:c>
    </x:row>
    <x:row r="101" ht="26" customHeight="1">
      <x:c r="A101" s="3" t="str">
        <x:v>173_wang/200_2.jpg</x:v>
      </x:c>
      <x:c r="B101" s="3" t="str">
        <x:v>173_wang</x:v>
      </x:c>
      <x:c r="C101" s="16" t="n">
        <x:v>173</x:v>
      </x:c>
      <x:c r="D101" s="16" t="n">
        <x:v>200</x:v>
      </x:c>
      <x:c r="E101" s="16" t="n">
        <x:v>494</x:v>
      </x:c>
      <x:c r="F101" s="16" t="n">
        <x:v>51</x:v>
      </x:c>
      <x:c r="G101" s="16" t="n">
        <x:v>691</x:v>
      </x:c>
      <x:c r="H101" s="16" t="n">
        <x:v>654</x:v>
      </x:c>
      <x:c r="I101" s="16" t="n">
        <x:v>1</x:v>
      </x:c>
      <x:c r="J101" s="16" t="n">
        <x:f>H101-F101+1</x:f>
        <x:v>604</x:v>
      </x:c>
      <x:c r="K101" s="17" t="n">
        <x:f>IF(I101=1,C101/J101,"")</x:f>
        <x:v>0.28642384105960267</x:v>
      </x:c>
      <x:c r="L101" s="17" t="n">
        <x:f>C101/D101</x:f>
        <x:v>0.865</x:v>
      </x:c>
      <x:c r="M101" s="18" t="n">
        <x:f>IF(I101=1,J101*('校正統計'!$B$7*D101+'校正統計'!$B$8),"")</x:f>
        <x:v>179.3763666002009</x:v>
      </x:c>
      <x:c r="N101" s="18" t="n">
        <x:f>IF(I101=1,M101-C101,"")</x:f>
        <x:v>6.376366600200896</x:v>
      </x:c>
      <x:c r="O101" s="18" t="n">
        <x:f>IF(I101=1,J101*D101/'校正統計'!$B$9,"")</x:f>
        <x:v>178.46763713729015</x:v>
      </x:c>
      <x:c r="P101" s="18" t="n">
        <x:f>IF(I101=1,O101-C101,"")</x:f>
        <x:v>5.467637137290154</x:v>
      </x:c>
      <x:c r="Q101" s="18" t="n">
        <x:f>IF(I101=1,J101*(0.0013599938652549585*D101+0.014432794417975773)-C101,"")</x:f>
        <x:v>0.004666751256365842</x:v>
      </x:c>
      <x:c r="R101" s="18" t="n">
        <x:f>IF(I101=1,J101*D101/697.7877515437722-C101,"")</x:f>
        <x:v>0.11854461868153976</x:v>
      </x:c>
      <x:c r="S101" s="18" t="n">
        <x:f>IF(I101=1,J101*L101,0)</x:f>
        <x:v>522.46</x:v>
      </x:c>
      <x:c r="T101" s="18" t="n">
        <x:f>IF(I101=1,L101^2,0)</x:f>
        <x:v>0.748225</x:v>
      </x:c>
      <x:c r="U101" s="16" t="n">
        <x:f>IF(I101=1,J101,"")</x:f>
        <x:v>604</x:v>
      </x:c>
      <x:c r="V101" s="3" t="str">
        <x:v>完整頭腳；納入</x:v>
      </x:c>
    </x:row>
    <x:row r="102" ht="26" customHeight="1">
      <x:c r="A102" s="3" t="str">
        <x:v>173_wang/200_3.jpg</x:v>
      </x:c>
      <x:c r="B102" s="3" t="str">
        <x:v>173_wang</x:v>
      </x:c>
      <x:c r="C102" s="16" t="n">
        <x:v>173</x:v>
      </x:c>
      <x:c r="D102" s="16" t="n">
        <x:v>200</x:v>
      </x:c>
      <x:c r="E102" s="16" t="n">
        <x:v>490</x:v>
      </x:c>
      <x:c r="F102" s="16" t="n">
        <x:v>47</x:v>
      </x:c>
      <x:c r="G102" s="16" t="n">
        <x:v>687</x:v>
      </x:c>
      <x:c r="H102" s="16" t="n">
        <x:v>650</x:v>
      </x:c>
      <x:c r="I102" s="16" t="n">
        <x:v>1</x:v>
      </x:c>
      <x:c r="J102" s="16" t="n">
        <x:f>H102-F102+1</x:f>
        <x:v>604</x:v>
      </x:c>
      <x:c r="K102" s="17" t="n">
        <x:f>IF(I102=1,C102/J102,"")</x:f>
        <x:v>0.28642384105960267</x:v>
      </x:c>
      <x:c r="L102" s="17" t="n">
        <x:f>C102/D102</x:f>
        <x:v>0.865</x:v>
      </x:c>
      <x:c r="M102" s="18" t="n">
        <x:f>IF(I102=1,J102*('校正統計'!$B$7*D102+'校正統計'!$B$8),"")</x:f>
        <x:v>179.3763666002009</x:v>
      </x:c>
      <x:c r="N102" s="18" t="n">
        <x:f>IF(I102=1,M102-C102,"")</x:f>
        <x:v>6.376366600200896</x:v>
      </x:c>
      <x:c r="O102" s="18" t="n">
        <x:f>IF(I102=1,J102*D102/'校正統計'!$B$9,"")</x:f>
        <x:v>178.46763713729015</x:v>
      </x:c>
      <x:c r="P102" s="18" t="n">
        <x:f>IF(I102=1,O102-C102,"")</x:f>
        <x:v>5.467637137290154</x:v>
      </x:c>
      <x:c r="Q102" s="18" t="n">
        <x:f>IF(I102=1,J102*(0.0013599938652549585*D102+0.014432794417975773)-C102,"")</x:f>
        <x:v>0.004666751256365842</x:v>
      </x:c>
      <x:c r="R102" s="18" t="n">
        <x:f>IF(I102=1,J102*D102/697.7877515437722-C102,"")</x:f>
        <x:v>0.11854461868153976</x:v>
      </x:c>
      <x:c r="S102" s="18" t="n">
        <x:f>IF(I102=1,J102*L102,0)</x:f>
        <x:v>522.46</x:v>
      </x:c>
      <x:c r="T102" s="18" t="n">
        <x:f>IF(I102=1,L102^2,0)</x:f>
        <x:v>0.748225</x:v>
      </x:c>
      <x:c r="U102" s="16" t="n">
        <x:f>IF(I102=1,J102,"")</x:f>
        <x:v>604</x:v>
      </x:c>
      <x:c r="V102" s="3" t="str">
        <x:v>完整頭腳；納入</x:v>
      </x:c>
    </x:row>
    <x:row r="103" ht="26" customHeight="1">
      <x:c r="A103" s="3" t="str">
        <x:v>173_wang/200_4.jpg</x:v>
      </x:c>
      <x:c r="B103" s="3" t="str">
        <x:v>173_wang</x:v>
      </x:c>
      <x:c r="C103" s="16" t="n">
        <x:v>173</x:v>
      </x:c>
      <x:c r="D103" s="16" t="n">
        <x:v>200</x:v>
      </x:c>
      <x:c r="E103" s="16" t="n">
        <x:v>490</x:v>
      </x:c>
      <x:c r="F103" s="16" t="n">
        <x:v>46</x:v>
      </x:c>
      <x:c r="G103" s="16" t="n">
        <x:v>689</x:v>
      </x:c>
      <x:c r="H103" s="16" t="n">
        <x:v>650</x:v>
      </x:c>
      <x:c r="I103" s="16" t="n">
        <x:v>1</x:v>
      </x:c>
      <x:c r="J103" s="16" t="n">
        <x:f>H103-F103+1</x:f>
        <x:v>605</x:v>
      </x:c>
      <x:c r="K103" s="17" t="n">
        <x:f>IF(I103=1,C103/J103,"")</x:f>
        <x:v>0.2859504132231405</x:v>
      </x:c>
      <x:c r="L103" s="17" t="n">
        <x:f>C103/D103</x:f>
        <x:v>0.865</x:v>
      </x:c>
      <x:c r="M103" s="18" t="n">
        <x:f>IF(I103=1,J103*('校正統計'!$B$7*D103+'校正統計'!$B$8),"")</x:f>
        <x:v>179.67334733960521</x:v>
      </x:c>
      <x:c r="N103" s="18" t="n">
        <x:f>IF(I103=1,M103-C103,"")</x:f>
        <x:v>6.673347339605215</x:v>
      </x:c>
      <x:c r="O103" s="18" t="n">
        <x:f>IF(I103=1,J103*D103/'校正統計'!$B$9,"")</x:f>
        <x:v>178.76311335771612</x:v>
      </x:c>
      <x:c r="P103" s="18" t="n">
        <x:f>IF(I103=1,O103-C103,"")</x:f>
        <x:v>5.763113357716122</x:v>
      </x:c>
      <x:c r="Q103" s="18" t="n">
        <x:f>IF(I103=1,J103*(0.0013599938652549585*D103+0.014432794417975773)-C103,"")</x:f>
        <x:v>0.291098318725318</x:v>
      </x:c>
      <x:c r="R103" s="18" t="n">
        <x:f>IF(I103=1,J103*D103/697.7877515437722-C103,"")</x:f>
        <x:v>0.4051647256661113</x:v>
      </x:c>
      <x:c r="S103" s="18" t="n">
        <x:f>IF(I103=1,J103*L103,0)</x:f>
        <x:v>523.325</x:v>
      </x:c>
      <x:c r="T103" s="18" t="n">
        <x:f>IF(I103=1,L103^2,0)</x:f>
        <x:v>0.748225</x:v>
      </x:c>
      <x:c r="U103" s="16" t="n">
        <x:f>IF(I103=1,J103,"")</x:f>
        <x:v>605</x:v>
      </x:c>
      <x:c r="V103" s="3" t="str">
        <x:v>完整頭腳；納入</x:v>
      </x:c>
    </x:row>
    <x:row r="104" ht="26" customHeight="1">
      <x:c r="A104" s="3" t="str">
        <x:v>173_wang/200_5.jpg</x:v>
      </x:c>
      <x:c r="B104" s="3" t="str">
        <x:v>173_wang</x:v>
      </x:c>
      <x:c r="C104" s="16" t="n">
        <x:v>173</x:v>
      </x:c>
      <x:c r="D104" s="16" t="n">
        <x:v>200</x:v>
      </x:c>
      <x:c r="E104" s="16" t="n">
        <x:v>485</x:v>
      </x:c>
      <x:c r="F104" s="16" t="n">
        <x:v>44</x:v>
      </x:c>
      <x:c r="G104" s="16" t="n">
        <x:v>686</x:v>
      </x:c>
      <x:c r="H104" s="16" t="n">
        <x:v>648</x:v>
      </x:c>
      <x:c r="I104" s="16" t="n">
        <x:v>1</x:v>
      </x:c>
      <x:c r="J104" s="16" t="n">
        <x:f>H104-F104+1</x:f>
        <x:v>605</x:v>
      </x:c>
      <x:c r="K104" s="17" t="n">
        <x:f>IF(I104=1,C104/J104,"")</x:f>
        <x:v>0.2859504132231405</x:v>
      </x:c>
      <x:c r="L104" s="17" t="n">
        <x:f>C104/D104</x:f>
        <x:v>0.865</x:v>
      </x:c>
      <x:c r="M104" s="18" t="n">
        <x:f>IF(I104=1,J104*('校正統計'!$B$7*D104+'校正統計'!$B$8),"")</x:f>
        <x:v>179.67334733960521</x:v>
      </x:c>
      <x:c r="N104" s="18" t="n">
        <x:f>IF(I104=1,M104-C104,"")</x:f>
        <x:v>6.673347339605215</x:v>
      </x:c>
      <x:c r="O104" s="18" t="n">
        <x:f>IF(I104=1,J104*D104/'校正統計'!$B$9,"")</x:f>
        <x:v>178.76311335771612</x:v>
      </x:c>
      <x:c r="P104" s="18" t="n">
        <x:f>IF(I104=1,O104-C104,"")</x:f>
        <x:v>5.763113357716122</x:v>
      </x:c>
      <x:c r="Q104" s="18" t="n">
        <x:f>IF(I104=1,J104*(0.0013599938652549585*D104+0.014432794417975773)-C104,"")</x:f>
        <x:v>0.291098318725318</x:v>
      </x:c>
      <x:c r="R104" s="18" t="n">
        <x:f>IF(I104=1,J104*D104/697.7877515437722-C104,"")</x:f>
        <x:v>0.4051647256661113</x:v>
      </x:c>
      <x:c r="S104" s="18" t="n">
        <x:f>IF(I104=1,J104*L104,0)</x:f>
        <x:v>523.325</x:v>
      </x:c>
      <x:c r="T104" s="18" t="n">
        <x:f>IF(I104=1,L104^2,0)</x:f>
        <x:v>0.748225</x:v>
      </x:c>
      <x:c r="U104" s="16" t="n">
        <x:f>IF(I104=1,J104,"")</x:f>
        <x:v>605</x:v>
      </x:c>
      <x:c r="V104" s="3" t="str">
        <x:v>完整頭腳；納入</x:v>
      </x:c>
    </x:row>
    <x:row r="105" ht="26" customHeight="1">
      <x:c r="A105" s="3" t="str">
        <x:v>173_wang/250_1.jpg</x:v>
      </x:c>
      <x:c r="B105" s="3" t="str">
        <x:v>173_wang</x:v>
      </x:c>
      <x:c r="C105" s="16" t="n">
        <x:v>173</x:v>
      </x:c>
      <x:c r="D105" s="16" t="n">
        <x:v>250</x:v>
      </x:c>
      <x:c r="E105" s="16" t="n">
        <x:v>501</x:v>
      </x:c>
      <x:c r="F105" s="16" t="n">
        <x:v>89</x:v>
      </x:c>
      <x:c r="G105" s="16" t="n">
        <x:v>644</x:v>
      </x:c>
      <x:c r="H105" s="16" t="n">
        <x:v>576</x:v>
      </x:c>
      <x:c r="I105" s="16" t="n">
        <x:v>1</x:v>
      </x:c>
      <x:c r="J105" s="16" t="n">
        <x:f>H105-F105+1</x:f>
        <x:v>488</x:v>
      </x:c>
      <x:c r="K105" s="17" t="n">
        <x:f>IF(I105=1,C105/J105,"")</x:f>
        <x:v>0.35450819672131145</x:v>
      </x:c>
      <x:c r="L105" s="17" t="n">
        <x:f>C105/D105</x:f>
        <x:v>0.692</x:v>
      </x:c>
      <x:c r="M105" s="18" t="n">
        <x:f>IF(I105=1,J105*('校正統計'!$B$7*D105+'校正統計'!$B$8),"")</x:f>
        <x:v>178.4665200759256</x:v>
      </x:c>
      <x:c r="N105" s="18" t="n">
        <x:f>IF(I105=1,M105-C105,"")</x:f>
        <x:v>5.466520075925587</x:v>
      </x:c>
      <x:c r="O105" s="18" t="n">
        <x:f>IF(I105=1,J105*D105/'校正統計'!$B$9,"")</x:f>
        <x:v>180.24049445984602</x:v>
      </x:c>
      <x:c r="P105" s="18" t="n">
        <x:f>IF(I105=1,O105-C105,"")</x:f>
        <x:v>7.240494459846019</x:v>
      </x:c>
      <x:c r="Q105" s="18" t="n">
        <x:f>IF(I105=1,J105*(0.0013599938652549585*D105+0.014432794417975773)-C105,"")</x:f>
        <x:v>-0.03754476292286313</x:v>
      </x:c>
      <x:c r="R105" s="18" t="n">
        <x:f>IF(I105=1,J105*D105/697.7877515437722-C105,"")</x:f>
        <x:v>1.8382652605889973</x:v>
      </x:c>
      <x:c r="S105" s="18" t="n">
        <x:f>IF(I105=1,J105*L105,0)</x:f>
        <x:v>337.69599999999997</x:v>
      </x:c>
      <x:c r="T105" s="18" t="n">
        <x:f>IF(I105=1,L105^2,0)</x:f>
        <x:v>0.47886399999999996</x:v>
      </x:c>
      <x:c r="U105" s="16" t="n">
        <x:f>IF(I105=1,J105,"")</x:f>
        <x:v>488</x:v>
      </x:c>
      <x:c r="V105" s="3" t="str">
        <x:v>完整頭腳；納入</x:v>
      </x:c>
    </x:row>
    <x:row r="106" ht="26" customHeight="1">
      <x:c r="A106" s="3" t="str">
        <x:v>173_wang/250_2.jpg</x:v>
      </x:c>
      <x:c r="B106" s="3" t="str">
        <x:v>173_wang</x:v>
      </x:c>
      <x:c r="C106" s="16" t="n">
        <x:v>173</x:v>
      </x:c>
      <x:c r="D106" s="16" t="n">
        <x:v>250</x:v>
      </x:c>
      <x:c r="E106" s="16" t="n">
        <x:v>501</x:v>
      </x:c>
      <x:c r="F106" s="16" t="n">
        <x:v>90</x:v>
      </x:c>
      <x:c r="G106" s="16" t="n">
        <x:v>646</x:v>
      </x:c>
      <x:c r="H106" s="16" t="n">
        <x:v>578</x:v>
      </x:c>
      <x:c r="I106" s="16" t="n">
        <x:v>1</x:v>
      </x:c>
      <x:c r="J106" s="16" t="n">
        <x:f>H106-F106+1</x:f>
        <x:v>489</x:v>
      </x:c>
      <x:c r="K106" s="17" t="n">
        <x:f>IF(I106=1,C106/J106,"")</x:f>
        <x:v>0.3537832310838446</x:v>
      </x:c>
      <x:c r="L106" s="17" t="n">
        <x:f>C106/D106</x:f>
        <x:v>0.692</x:v>
      </x:c>
      <x:c r="M106" s="18" t="n">
        <x:f>IF(I106=1,J106*('校正統計'!$B$7*D106+'校正統計'!$B$8),"")</x:f>
        <x:v>178.8322301580484</x:v>
      </x:c>
      <x:c r="N106" s="18" t="n">
        <x:f>IF(I106=1,M106-C106,"")</x:f>
        <x:v>5.8322301580483895</x:v>
      </x:c>
      <x:c r="O106" s="18" t="n">
        <x:f>IF(I106=1,J106*D106/'校正統計'!$B$9,"")</x:f>
        <x:v>180.6098397353785</x:v>
      </x:c>
      <x:c r="P106" s="18" t="n">
        <x:f>IF(I106=1,O106-C106,"")</x:f>
        <x:v>7.6098397353785</x:v>
      </x:c>
      <x:c r="Q106" s="18" t="n">
        <x:f>IF(I106=1,J106*(0.0013599938652549585*D106+0.014432794417975773)-C106,"")</x:f>
        <x:v>0.31688649780883793</x:v>
      </x:c>
      <x:c r="R106" s="18" t="n">
        <x:f>IF(I106=1,J106*D106/697.7877515437722-C106,"")</x:f>
        <x:v>2.1965403943196975</x:v>
      </x:c>
      <x:c r="S106" s="18" t="n">
        <x:f>IF(I106=1,J106*L106,0)</x:f>
        <x:v>338.388</x:v>
      </x:c>
      <x:c r="T106" s="18" t="n">
        <x:f>IF(I106=1,L106^2,0)</x:f>
        <x:v>0.47886399999999996</x:v>
      </x:c>
      <x:c r="U106" s="16" t="n">
        <x:f>IF(I106=1,J106,"")</x:f>
        <x:v>489</x:v>
      </x:c>
      <x:c r="V106" s="3" t="str">
        <x:v>完整頭腳；納入</x:v>
      </x:c>
    </x:row>
    <x:row r="107" ht="26" customHeight="1">
      <x:c r="A107" s="3" t="str">
        <x:v>173_wang/250_3.jpg</x:v>
      </x:c>
      <x:c r="B107" s="3" t="str">
        <x:v>173_wang</x:v>
      </x:c>
      <x:c r="C107" s="16" t="n">
        <x:v>173</x:v>
      </x:c>
      <x:c r="D107" s="16" t="n">
        <x:v>250</x:v>
      </x:c>
      <x:c r="E107" s="16" t="n">
        <x:v>508</x:v>
      </x:c>
      <x:c r="F107" s="16" t="n">
        <x:v>98</x:v>
      </x:c>
      <x:c r="G107" s="16" t="n">
        <x:v>647</x:v>
      </x:c>
      <x:c r="H107" s="16" t="n">
        <x:v>584</x:v>
      </x:c>
      <x:c r="I107" s="16" t="n">
        <x:v>1</x:v>
      </x:c>
      <x:c r="J107" s="16" t="n">
        <x:f>H107-F107+1</x:f>
        <x:v>487</x:v>
      </x:c>
      <x:c r="K107" s="17" t="n">
        <x:f>IF(I107=1,C107/J107,"")</x:f>
        <x:v>0.35523613963039014</x:v>
      </x:c>
      <x:c r="L107" s="17" t="n">
        <x:f>C107/D107</x:f>
        <x:v>0.692</x:v>
      </x:c>
      <x:c r="M107" s="18" t="n">
        <x:f>IF(I107=1,J107*('校正統計'!$B$7*D107+'校正統計'!$B$8),"")</x:f>
        <x:v>178.10080999380278</x:v>
      </x:c>
      <x:c r="N107" s="18" t="n">
        <x:f>IF(I107=1,M107-C107,"")</x:f>
        <x:v>5.100809993802784</x:v>
      </x:c>
      <x:c r="O107" s="18" t="n">
        <x:f>IF(I107=1,J107*D107/'校正統計'!$B$9,"")</x:f>
        <x:v>179.87114918431354</x:v>
      </x:c>
      <x:c r="P107" s="18" t="n">
        <x:f>IF(I107=1,O107-C107,"")</x:f>
        <x:v>6.871149184313538</x:v>
      </x:c>
      <x:c r="Q107" s="18" t="n">
        <x:f>IF(I107=1,J107*(0.0013599938652549585*D107+0.014432794417975773)-C107,"")</x:f>
        <x:v>-0.3919760236545926</x:v>
      </x:c>
      <x:c r="R107" s="18" t="n">
        <x:f>IF(I107=1,J107*D107/697.7877515437722-C107,"")</x:f>
        <x:v>1.4799901268582687</x:v>
      </x:c>
      <x:c r="S107" s="18" t="n">
        <x:f>IF(I107=1,J107*L107,0)</x:f>
        <x:v>337.00399999999996</x:v>
      </x:c>
      <x:c r="T107" s="18" t="n">
        <x:f>IF(I107=1,L107^2,0)</x:f>
        <x:v>0.47886399999999996</x:v>
      </x:c>
      <x:c r="U107" s="16" t="n">
        <x:f>IF(I107=1,J107,"")</x:f>
        <x:v>487</x:v>
      </x:c>
      <x:c r="V107" s="3" t="str">
        <x:v>完整頭腳；納入</x:v>
      </x:c>
    </x:row>
    <x:row r="108" ht="26" customHeight="1">
      <x:c r="A108" s="3" t="str">
        <x:v>173_wang/250_4.jpg</x:v>
      </x:c>
      <x:c r="B108" s="3" t="str">
        <x:v>173_wang</x:v>
      </x:c>
      <x:c r="C108" s="16" t="n">
        <x:v>173</x:v>
      </x:c>
      <x:c r="D108" s="16" t="n">
        <x:v>250</x:v>
      </x:c>
      <x:c r="E108" s="16" t="n">
        <x:v>500</x:v>
      </x:c>
      <x:c r="F108" s="16" t="n">
        <x:v>95</x:v>
      </x:c>
      <x:c r="G108" s="16" t="n">
        <x:v>645</x:v>
      </x:c>
      <x:c r="H108" s="16" t="n">
        <x:v>582</x:v>
      </x:c>
      <x:c r="I108" s="16" t="n">
        <x:v>1</x:v>
      </x:c>
      <x:c r="J108" s="16" t="n">
        <x:f>H108-F108+1</x:f>
        <x:v>488</x:v>
      </x:c>
      <x:c r="K108" s="17" t="n">
        <x:f>IF(I108=1,C108/J108,"")</x:f>
        <x:v>0.35450819672131145</x:v>
      </x:c>
      <x:c r="L108" s="17" t="n">
        <x:f>C108/D108</x:f>
        <x:v>0.692</x:v>
      </x:c>
      <x:c r="M108" s="18" t="n">
        <x:f>IF(I108=1,J108*('校正統計'!$B$7*D108+'校正統計'!$B$8),"")</x:f>
        <x:v>178.4665200759256</x:v>
      </x:c>
      <x:c r="N108" s="18" t="n">
        <x:f>IF(I108=1,M108-C108,"")</x:f>
        <x:v>5.466520075925587</x:v>
      </x:c>
      <x:c r="O108" s="18" t="n">
        <x:f>IF(I108=1,J108*D108/'校正統計'!$B$9,"")</x:f>
        <x:v>180.24049445984602</x:v>
      </x:c>
      <x:c r="P108" s="18" t="n">
        <x:f>IF(I108=1,O108-C108,"")</x:f>
        <x:v>7.240494459846019</x:v>
      </x:c>
      <x:c r="Q108" s="18" t="n">
        <x:f>IF(I108=1,J108*(0.0013599938652549585*D108+0.014432794417975773)-C108,"")</x:f>
        <x:v>-0.03754476292286313</x:v>
      </x:c>
      <x:c r="R108" s="18" t="n">
        <x:f>IF(I108=1,J108*D108/697.7877515437722-C108,"")</x:f>
        <x:v>1.8382652605889973</x:v>
      </x:c>
      <x:c r="S108" s="18" t="n">
        <x:f>IF(I108=1,J108*L108,0)</x:f>
        <x:v>337.69599999999997</x:v>
      </x:c>
      <x:c r="T108" s="18" t="n">
        <x:f>IF(I108=1,L108^2,0)</x:f>
        <x:v>0.47886399999999996</x:v>
      </x:c>
      <x:c r="U108" s="16" t="n">
        <x:f>IF(I108=1,J108,"")</x:f>
        <x:v>488</x:v>
      </x:c>
      <x:c r="V108" s="3" t="str">
        <x:v>完整頭腳；納入</x:v>
      </x:c>
    </x:row>
    <x:row r="109" ht="26" customHeight="1">
      <x:c r="A109" s="3" t="str">
        <x:v>173_wang/250_5.jpg</x:v>
      </x:c>
      <x:c r="B109" s="3" t="str">
        <x:v>173_wang</x:v>
      </x:c>
      <x:c r="C109" s="16" t="n">
        <x:v>173</x:v>
      </x:c>
      <x:c r="D109" s="16" t="n">
        <x:v>250</x:v>
      </x:c>
      <x:c r="E109" s="16" t="n">
        <x:v>499</x:v>
      </x:c>
      <x:c r="F109" s="16" t="n">
        <x:v>97</x:v>
      </x:c>
      <x:c r="G109" s="16" t="n">
        <x:v>643</x:v>
      </x:c>
      <x:c r="H109" s="16" t="n">
        <x:v>585</x:v>
      </x:c>
      <x:c r="I109" s="16" t="n">
        <x:v>1</x:v>
      </x:c>
      <x:c r="J109" s="16" t="n">
        <x:f>H109-F109+1</x:f>
        <x:v>489</x:v>
      </x:c>
      <x:c r="K109" s="17" t="n">
        <x:f>IF(I109=1,C109/J109,"")</x:f>
        <x:v>0.3537832310838446</x:v>
      </x:c>
      <x:c r="L109" s="17" t="n">
        <x:f>C109/D109</x:f>
        <x:v>0.692</x:v>
      </x:c>
      <x:c r="M109" s="18" t="n">
        <x:f>IF(I109=1,J109*('校正統計'!$B$7*D109+'校正統計'!$B$8),"")</x:f>
        <x:v>178.8322301580484</x:v>
      </x:c>
      <x:c r="N109" s="18" t="n">
        <x:f>IF(I109=1,M109-C109,"")</x:f>
        <x:v>5.8322301580483895</x:v>
      </x:c>
      <x:c r="O109" s="18" t="n">
        <x:f>IF(I109=1,J109*D109/'校正統計'!$B$9,"")</x:f>
        <x:v>180.6098397353785</x:v>
      </x:c>
      <x:c r="P109" s="18" t="n">
        <x:f>IF(I109=1,O109-C109,"")</x:f>
        <x:v>7.6098397353785</x:v>
      </x:c>
      <x:c r="Q109" s="18" t="n">
        <x:f>IF(I109=1,J109*(0.0013599938652549585*D109+0.014432794417975773)-C109,"")</x:f>
        <x:v>0.31688649780883793</x:v>
      </x:c>
      <x:c r="R109" s="18" t="n">
        <x:f>IF(I109=1,J109*D109/697.7877515437722-C109,"")</x:f>
        <x:v>2.1965403943196975</x:v>
      </x:c>
      <x:c r="S109" s="18" t="n">
        <x:f>IF(I109=1,J109*L109,0)</x:f>
        <x:v>338.388</x:v>
      </x:c>
      <x:c r="T109" s="18" t="n">
        <x:f>IF(I109=1,L109^2,0)</x:f>
        <x:v>0.47886399999999996</x:v>
      </x:c>
      <x:c r="U109" s="16" t="n">
        <x:f>IF(I109=1,J109,"")</x:f>
        <x:v>489</x:v>
      </x:c>
      <x:c r="V109" s="3" t="str">
        <x:v>完整頭腳；納入</x:v>
      </x:c>
    </x:row>
    <x:row r="110" ht="26" customHeight="1">
      <x:c r="A110" s="3" t="str">
        <x:v>188_huang/180 (1).jpg</x:v>
      </x:c>
      <x:c r="B110" s="3" t="str">
        <x:v>188_huang</x:v>
      </x:c>
      <x:c r="C110" s="16" t="n">
        <x:v>188</x:v>
      </x:c>
      <x:c r="D110" s="16" t="n">
        <x:v>180</x:v>
      </x:c>
      <x:c r="E110" s="16" t="n">
        <x:v>527</x:v>
      </x:c>
      <x:c r="F110" s="16" t="n">
        <x:v>6</x:v>
      </x:c>
      <x:c r="G110" s="16" t="n">
        <x:v>749</x:v>
      </x:c>
      <x:c r="H110" s="16" t="n">
        <x:v>707</x:v>
      </x:c>
      <x:c r="I110" s="16" t="n">
        <x:v>1</x:v>
      </x:c>
      <x:c r="J110" s="16" t="n">
        <x:f>H110-F110+1</x:f>
        <x:v>702</x:v>
      </x:c>
      <x:c r="K110" s="17" t="n">
        <x:f>IF(I110=1,C110/J110,"")</x:f>
        <x:v>0.2678062678062678</x:v>
      </x:c>
      <x:c r="L110" s="17" t="n">
        <x:f>C110/D110</x:f>
        <x:v>1.0444444444444445</x:v>
      </x:c>
      <x:c r="M110" s="18" t="n">
        <x:f>IF(I110=1,J110*('校正統計'!$B$7*D110+'校正統計'!$B$8),"")</x:f>
        <x:v>189.18127962647029</x:v>
      </x:c>
      <x:c r="N110" s="18" t="n">
        <x:f>IF(I110=1,M110-C110,"")</x:f>
        <x:v>1.1812796264702854</x:v>
      </x:c>
      <x:c r="O110" s="18" t="n">
        <x:f>IF(I110=1,J110*D110/'校正統計'!$B$9,"")</x:f>
        <x:v>186.68187606513231</x:v>
      </x:c>
      <x:c r="P110" s="18" t="n">
        <x:f>IF(I110=1,O110-C110,"")</x:f>
        <x:v>-1.3181239348676854</x:v>
      </x:c>
      <x:c r="Q110" s="18" t="n">
        <x:f>IF(I110=1,J110*(0.0013599938652549585*D110+0.014432794417975773)-C110,"")</x:f>
        <x:v>-6.019353504964442</x:v>
      </x:c>
      <x:c r="R110" s="18" t="n">
        <x:f>IF(I110=1,J110*D110/697.7877515437722-C110,"")</x:f>
        <x:v>-6.913416407147338</x:v>
      </x:c>
      <x:c r="S110" s="18" t="n">
        <x:f>IF(I110=1,J110*L110,0)</x:f>
        <x:v>733.2</x:v>
      </x:c>
      <x:c r="T110" s="18" t="n">
        <x:f>IF(I110=1,L110^2,0)</x:f>
        <x:v>1.0908641975308644</x:v>
      </x:c>
      <x:c r="U110" s="16" t="n">
        <x:f>IF(I110=1,J110,"")</x:f>
        <x:v>702</x:v>
      </x:c>
      <x:c r="V110" s="3" t="str">
        <x:v>完整頭腳；納入</x:v>
      </x:c>
    </x:row>
    <x:row r="111" ht="26" customHeight="1">
      <x:c r="A111" s="3" t="str">
        <x:v>188_huang/180 (2).jpg</x:v>
      </x:c>
      <x:c r="B111" s="3" t="str">
        <x:v>188_huang</x:v>
      </x:c>
      <x:c r="C111" s="16" t="n">
        <x:v>188</x:v>
      </x:c>
      <x:c r="D111" s="16" t="n">
        <x:v>180</x:v>
      </x:c>
      <x:c r="E111" s="16" t="n">
        <x:v>528</x:v>
      </x:c>
      <x:c r="F111" s="16" t="n">
        <x:v>5</x:v>
      </x:c>
      <x:c r="G111" s="16" t="n">
        <x:v>751</x:v>
      </x:c>
      <x:c r="H111" s="16" t="n">
        <x:v>706</x:v>
      </x:c>
      <x:c r="I111" s="16" t="n">
        <x:v>1</x:v>
      </x:c>
      <x:c r="J111" s="16" t="n">
        <x:f>H111-F111+1</x:f>
        <x:v>702</x:v>
      </x:c>
      <x:c r="K111" s="17" t="n">
        <x:f>IF(I111=1,C111/J111,"")</x:f>
        <x:v>0.2678062678062678</x:v>
      </x:c>
      <x:c r="L111" s="17" t="n">
        <x:f>C111/D111</x:f>
        <x:v>1.0444444444444445</x:v>
      </x:c>
      <x:c r="M111" s="18" t="n">
        <x:f>IF(I111=1,J111*('校正統計'!$B$7*D111+'校正統計'!$B$8),"")</x:f>
        <x:v>189.18127962647029</x:v>
      </x:c>
      <x:c r="N111" s="18" t="n">
        <x:f>IF(I111=1,M111-C111,"")</x:f>
        <x:v>1.1812796264702854</x:v>
      </x:c>
      <x:c r="O111" s="18" t="n">
        <x:f>IF(I111=1,J111*D111/'校正統計'!$B$9,"")</x:f>
        <x:v>186.68187606513231</x:v>
      </x:c>
      <x:c r="P111" s="18" t="n">
        <x:f>IF(I111=1,O111-C111,"")</x:f>
        <x:v>-1.3181239348676854</x:v>
      </x:c>
      <x:c r="Q111" s="18" t="n">
        <x:f>IF(I111=1,J111*(0.0013599938652549585*D111+0.014432794417975773)-C111,"")</x:f>
        <x:v>-6.019353504964442</x:v>
      </x:c>
      <x:c r="R111" s="18" t="n">
        <x:f>IF(I111=1,J111*D111/697.7877515437722-C111,"")</x:f>
        <x:v>-6.913416407147338</x:v>
      </x:c>
      <x:c r="S111" s="18" t="n">
        <x:f>IF(I111=1,J111*L111,0)</x:f>
        <x:v>733.2</x:v>
      </x:c>
      <x:c r="T111" s="18" t="n">
        <x:f>IF(I111=1,L111^2,0)</x:f>
        <x:v>1.0908641975308644</x:v>
      </x:c>
      <x:c r="U111" s="16" t="n">
        <x:f>IF(I111=1,J111,"")</x:f>
        <x:v>702</x:v>
      </x:c>
      <x:c r="V111" s="3" t="str">
        <x:v>完整頭腳；納入</x:v>
      </x:c>
    </x:row>
    <x:row r="112" ht="26" customHeight="1">
      <x:c r="A112" s="3" t="str">
        <x:v>188_huang/180 (3).jpg</x:v>
      </x:c>
      <x:c r="B112" s="3" t="str">
        <x:v>188_huang</x:v>
      </x:c>
      <x:c r="C112" s="16" t="n">
        <x:v>188</x:v>
      </x:c>
      <x:c r="D112" s="16" t="n">
        <x:v>180</x:v>
      </x:c>
      <x:c r="E112" s="16" t="n">
        <x:v>527</x:v>
      </x:c>
      <x:c r="F112" s="16" t="n">
        <x:v>6</x:v>
      </x:c>
      <x:c r="G112" s="16" t="n">
        <x:v>747</x:v>
      </x:c>
      <x:c r="H112" s="16" t="n">
        <x:v>703</x:v>
      </x:c>
      <x:c r="I112" s="16" t="n">
        <x:v>1</x:v>
      </x:c>
      <x:c r="J112" s="16" t="n">
        <x:f>H112-F112+1</x:f>
        <x:v>698</x:v>
      </x:c>
      <x:c r="K112" s="17" t="n">
        <x:f>IF(I112=1,C112/J112,"")</x:f>
        <x:v>0.2693409742120344</x:v>
      </x:c>
      <x:c r="L112" s="17" t="n">
        <x:f>C112/D112</x:f>
        <x:v>1.0444444444444445</x:v>
      </x:c>
      <x:c r="M112" s="18" t="n">
        <x:f>IF(I112=1,J112*('校正統計'!$B$7*D112+'校正統計'!$B$8),"")</x:f>
        <x:v>188.10332361720265</x:v>
      </x:c>
      <x:c r="N112" s="18" t="n">
        <x:f>IF(I112=1,M112-C112,"")</x:f>
        <x:v>0.10332361720264771</x:v>
      </x:c>
      <x:c r="O112" s="18" t="n">
        <x:f>IF(I112=1,J112*D112/'校正統計'!$B$9,"")</x:f>
        <x:v>185.6181616715988</x:v>
      </x:c>
      <x:c r="P112" s="18" t="n">
        <x:f>IF(I112=1,O112-C112,"")</x:f>
        <x:v>-2.3818383284011873</x:v>
      </x:c>
      <x:c r="Q112" s="18" t="n">
        <x:f>IF(I112=1,J112*(0.0013599938652549585*D112+0.014432794417975773)-C112,"")</x:f>
        <x:v>-7.056280265619904</x:v>
      </x:c>
      <x:c r="R112" s="18" t="n">
        <x:f>IF(I112=1,J112*D112/697.7877515437722-C112,"")</x:f>
        <x:v>-7.945248792291807</x:v>
      </x:c>
      <x:c r="S112" s="18" t="n">
        <x:f>IF(I112=1,J112*L112,0)</x:f>
        <x:v>729.0222222222222</x:v>
      </x:c>
      <x:c r="T112" s="18" t="n">
        <x:f>IF(I112=1,L112^2,0)</x:f>
        <x:v>1.0908641975308644</x:v>
      </x:c>
      <x:c r="U112" s="16" t="n">
        <x:f>IF(I112=1,J112,"")</x:f>
        <x:v>698</x:v>
      </x:c>
      <x:c r="V112" s="3" t="str">
        <x:v>完整頭腳；納入</x:v>
      </x:c>
    </x:row>
    <x:row r="113" ht="26" customHeight="1">
      <x:c r="A113" s="3" t="str">
        <x:v>188_huang/180 (4).jpg</x:v>
      </x:c>
      <x:c r="B113" s="3" t="str">
        <x:v>188_huang</x:v>
      </x:c>
      <x:c r="C113" s="16" t="n">
        <x:v>188</x:v>
      </x:c>
      <x:c r="D113" s="16" t="n">
        <x:v>180</x:v>
      </x:c>
      <x:c r="E113" s="16" t="n">
        <x:v>527</x:v>
      </x:c>
      <x:c r="F113" s="16" t="n">
        <x:v>6</x:v>
      </x:c>
      <x:c r="G113" s="16" t="n">
        <x:v>749</x:v>
      </x:c>
      <x:c r="H113" s="16" t="n">
        <x:v>705</x:v>
      </x:c>
      <x:c r="I113" s="16" t="n">
        <x:v>1</x:v>
      </x:c>
      <x:c r="J113" s="16" t="n">
        <x:f>H113-F113+1</x:f>
        <x:v>700</x:v>
      </x:c>
      <x:c r="K113" s="17" t="n">
        <x:f>IF(I113=1,C113/J113,"")</x:f>
        <x:v>0.26857142857142857</x:v>
      </x:c>
      <x:c r="L113" s="17" t="n">
        <x:f>C113/D113</x:f>
        <x:v>1.0444444444444445</x:v>
      </x:c>
      <x:c r="M113" s="18" t="n">
        <x:f>IF(I113=1,J113*('校正統計'!$B$7*D113+'校正統計'!$B$8),"")</x:f>
        <x:v>188.64230162183648</x:v>
      </x:c>
      <x:c r="N113" s="18" t="n">
        <x:f>IF(I113=1,M113-C113,"")</x:f>
        <x:v>0.6423016218364808</x:v>
      </x:c>
      <x:c r="O113" s="18" t="n">
        <x:f>IF(I113=1,J113*D113/'校正統計'!$B$9,"")</x:f>
        <x:v>186.15001886836555</x:v>
      </x:c>
      <x:c r="P113" s="18" t="n">
        <x:f>IF(I113=1,O113-C113,"")</x:f>
        <x:v>-1.8499811316344505</x:v>
      </x:c>
      <x:c r="Q113" s="18" t="n">
        <x:f>IF(I113=1,J113*(0.0013599938652549585*D113+0.014432794417975773)-C113,"")</x:f>
        <x:v>-6.537816885292187</x:v>
      </x:c>
      <x:c r="R113" s="18" t="n">
        <x:f>IF(I113=1,J113*D113/697.7877515437722-C113,"")</x:f>
        <x:v>-7.429332599719572</x:v>
      </x:c>
      <x:c r="S113" s="18" t="n">
        <x:f>IF(I113=1,J113*L113,0)</x:f>
        <x:v>731.1111111111112</x:v>
      </x:c>
      <x:c r="T113" s="18" t="n">
        <x:f>IF(I113=1,L113^2,0)</x:f>
        <x:v>1.0908641975308644</x:v>
      </x:c>
      <x:c r="U113" s="16" t="n">
        <x:f>IF(I113=1,J113,"")</x:f>
        <x:v>700</x:v>
      </x:c>
      <x:c r="V113" s="3" t="str">
        <x:v>完整頭腳；納入</x:v>
      </x:c>
    </x:row>
    <x:row r="114" ht="26" customHeight="1">
      <x:c r="A114" s="3" t="str">
        <x:v>188_huang/180 (5).jpg</x:v>
      </x:c>
      <x:c r="B114" s="3" t="str">
        <x:v>188_huang</x:v>
      </x:c>
      <x:c r="C114" s="16" t="n">
        <x:v>188</x:v>
      </x:c>
      <x:c r="D114" s="16" t="n">
        <x:v>180</x:v>
      </x:c>
      <x:c r="E114" s="16" t="n">
        <x:v>527</x:v>
      </x:c>
      <x:c r="F114" s="16" t="n">
        <x:v>8</x:v>
      </x:c>
      <x:c r="G114" s="16" t="n">
        <x:v>752</x:v>
      </x:c>
      <x:c r="H114" s="16" t="n">
        <x:v>706</x:v>
      </x:c>
      <x:c r="I114" s="16" t="n">
        <x:v>1</x:v>
      </x:c>
      <x:c r="J114" s="16" t="n">
        <x:f>H114-F114+1</x:f>
        <x:v>699</x:v>
      </x:c>
      <x:c r="K114" s="17" t="n">
        <x:f>IF(I114=1,C114/J114,"")</x:f>
        <x:v>0.26895565092989987</x:v>
      </x:c>
      <x:c r="L114" s="17" t="n">
        <x:f>C114/D114</x:f>
        <x:v>1.0444444444444445</x:v>
      </x:c>
      <x:c r="M114" s="18" t="n">
        <x:f>IF(I114=1,J114*('校正統計'!$B$7*D114+'校正統計'!$B$8),"")</x:f>
        <x:v>188.37281261951958</x:v>
      </x:c>
      <x:c r="N114" s="18" t="n">
        <x:f>IF(I114=1,M114-C114,"")</x:f>
        <x:v>0.37281261951957845</x:v>
      </x:c>
      <x:c r="O114" s="18" t="n">
        <x:f>IF(I114=1,J114*D114/'校正統計'!$B$9,"")</x:f>
        <x:v>185.88409026998218</x:v>
      </x:c>
      <x:c r="P114" s="18" t="n">
        <x:f>IF(I114=1,O114-C114,"")</x:f>
        <x:v>-2.115909730017819</x:v>
      </x:c>
      <x:c r="Q114" s="18" t="n">
        <x:f>IF(I114=1,J114*(0.0013599938652549585*D114+0.014432794417975773)-C114,"")</x:f>
        <x:v>-6.797048575456046</x:v>
      </x:c>
      <x:c r="R114" s="18" t="n">
        <x:f>IF(I114=1,J114*D114/697.7877515437722-C114,"")</x:f>
        <x:v>-7.687290696005675</x:v>
      </x:c>
      <x:c r="S114" s="18" t="n">
        <x:f>IF(I114=1,J114*L114,0)</x:f>
        <x:v>730.0666666666667</x:v>
      </x:c>
      <x:c r="T114" s="18" t="n">
        <x:f>IF(I114=1,L114^2,0)</x:f>
        <x:v>1.0908641975308644</x:v>
      </x:c>
      <x:c r="U114" s="16" t="n">
        <x:f>IF(I114=1,J114,"")</x:f>
        <x:v>699</x:v>
      </x:c>
      <x:c r="V114" s="3" t="str">
        <x:v>完整頭腳；納入</x:v>
      </x:c>
    </x:row>
    <x:row r="115" ht="26" customHeight="1">
      <x:c r="A115" s="3" t="str">
        <x:v>188_huang/180 (6).jpg</x:v>
      </x:c>
      <x:c r="B115" s="3" t="str">
        <x:v>188_huang</x:v>
      </x:c>
      <x:c r="C115" s="16" t="n">
        <x:v>188</x:v>
      </x:c>
      <x:c r="D115" s="16" t="n">
        <x:v>180</x:v>
      </x:c>
      <x:c r="E115" s="16" t="n">
        <x:v>527</x:v>
      </x:c>
      <x:c r="F115" s="16" t="n">
        <x:v>7</x:v>
      </x:c>
      <x:c r="G115" s="16" t="n">
        <x:v>749</x:v>
      </x:c>
      <x:c r="H115" s="16" t="n">
        <x:v>706</x:v>
      </x:c>
      <x:c r="I115" s="16" t="n">
        <x:v>1</x:v>
      </x:c>
      <x:c r="J115" s="16" t="n">
        <x:f>H115-F115+1</x:f>
        <x:v>700</x:v>
      </x:c>
      <x:c r="K115" s="17" t="n">
        <x:f>IF(I115=1,C115/J115,"")</x:f>
        <x:v>0.26857142857142857</x:v>
      </x:c>
      <x:c r="L115" s="17" t="n">
        <x:f>C115/D115</x:f>
        <x:v>1.0444444444444445</x:v>
      </x:c>
      <x:c r="M115" s="18" t="n">
        <x:f>IF(I115=1,J115*('校正統計'!$B$7*D115+'校正統計'!$B$8),"")</x:f>
        <x:v>188.64230162183648</x:v>
      </x:c>
      <x:c r="N115" s="18" t="n">
        <x:f>IF(I115=1,M115-C115,"")</x:f>
        <x:v>0.6423016218364808</x:v>
      </x:c>
      <x:c r="O115" s="18" t="n">
        <x:f>IF(I115=1,J115*D115/'校正統計'!$B$9,"")</x:f>
        <x:v>186.15001886836555</x:v>
      </x:c>
      <x:c r="P115" s="18" t="n">
        <x:f>IF(I115=1,O115-C115,"")</x:f>
        <x:v>-1.8499811316344505</x:v>
      </x:c>
      <x:c r="Q115" s="18" t="n">
        <x:f>IF(I115=1,J115*(0.0013599938652549585*D115+0.014432794417975773)-C115,"")</x:f>
        <x:v>-6.537816885292187</x:v>
      </x:c>
      <x:c r="R115" s="18" t="n">
        <x:f>IF(I115=1,J115*D115/697.7877515437722-C115,"")</x:f>
        <x:v>-7.429332599719572</x:v>
      </x:c>
      <x:c r="S115" s="18" t="n">
        <x:f>IF(I115=1,J115*L115,0)</x:f>
        <x:v>731.1111111111112</x:v>
      </x:c>
      <x:c r="T115" s="18" t="n">
        <x:f>IF(I115=1,L115^2,0)</x:f>
        <x:v>1.0908641975308644</x:v>
      </x:c>
      <x:c r="U115" s="16" t="n">
        <x:f>IF(I115=1,J115,"")</x:f>
        <x:v>700</x:v>
      </x:c>
      <x:c r="V115" s="3" t="str">
        <x:v>完整頭腳；納入</x:v>
      </x:c>
    </x:row>
    <x:row r="116" ht="26" customHeight="1">
      <x:c r="A116" s="3" t="str">
        <x:v>188_huang/180 (7).jpg</x:v>
      </x:c>
      <x:c r="B116" s="3" t="str">
        <x:v>188_huang</x:v>
      </x:c>
      <x:c r="C116" s="16" t="n">
        <x:v>188</x:v>
      </x:c>
      <x:c r="D116" s="16" t="n">
        <x:v>180</x:v>
      </x:c>
      <x:c r="E116" s="16" t="n">
        <x:v>527</x:v>
      </x:c>
      <x:c r="F116" s="16" t="n">
        <x:v>9</x:v>
      </x:c>
      <x:c r="G116" s="16" t="n">
        <x:v>749</x:v>
      </x:c>
      <x:c r="H116" s="16" t="n">
        <x:v>708</x:v>
      </x:c>
      <x:c r="I116" s="16" t="n">
        <x:v>1</x:v>
      </x:c>
      <x:c r="J116" s="16" t="n">
        <x:f>H116-F116+1</x:f>
        <x:v>700</x:v>
      </x:c>
      <x:c r="K116" s="17" t="n">
        <x:f>IF(I116=1,C116/J116,"")</x:f>
        <x:v>0.26857142857142857</x:v>
      </x:c>
      <x:c r="L116" s="17" t="n">
        <x:f>C116/D116</x:f>
        <x:v>1.0444444444444445</x:v>
      </x:c>
      <x:c r="M116" s="18" t="n">
        <x:f>IF(I116=1,J116*('校正統計'!$B$7*D116+'校正統計'!$B$8),"")</x:f>
        <x:v>188.64230162183648</x:v>
      </x:c>
      <x:c r="N116" s="18" t="n">
        <x:f>IF(I116=1,M116-C116,"")</x:f>
        <x:v>0.6423016218364808</x:v>
      </x:c>
      <x:c r="O116" s="18" t="n">
        <x:f>IF(I116=1,J116*D116/'校正統計'!$B$9,"")</x:f>
        <x:v>186.15001886836555</x:v>
      </x:c>
      <x:c r="P116" s="18" t="n">
        <x:f>IF(I116=1,O116-C116,"")</x:f>
        <x:v>-1.8499811316344505</x:v>
      </x:c>
      <x:c r="Q116" s="18" t="n">
        <x:f>IF(I116=1,J116*(0.0013599938652549585*D116+0.014432794417975773)-C116,"")</x:f>
        <x:v>-6.537816885292187</x:v>
      </x:c>
      <x:c r="R116" s="18" t="n">
        <x:f>IF(I116=1,J116*D116/697.7877515437722-C116,"")</x:f>
        <x:v>-7.429332599719572</x:v>
      </x:c>
      <x:c r="S116" s="18" t="n">
        <x:f>IF(I116=1,J116*L116,0)</x:f>
        <x:v>731.1111111111112</x:v>
      </x:c>
      <x:c r="T116" s="18" t="n">
        <x:f>IF(I116=1,L116^2,0)</x:f>
        <x:v>1.0908641975308644</x:v>
      </x:c>
      <x:c r="U116" s="16" t="n">
        <x:f>IF(I116=1,J116,"")</x:f>
        <x:v>700</x:v>
      </x:c>
      <x:c r="V116" s="3" t="str">
        <x:v>完整頭腳；納入</x:v>
      </x:c>
    </x:row>
    <x:row r="117" ht="26" customHeight="1">
      <x:c r="A117" s="3" t="str">
        <x:v>188_huang/200 (1).jpg</x:v>
      </x:c>
      <x:c r="B117" s="3" t="str">
        <x:v>188_huang</x:v>
      </x:c>
      <x:c r="C117" s="16" t="n">
        <x:v>188</x:v>
      </x:c>
      <x:c r="D117" s="16" t="n">
        <x:v>200</x:v>
      </x:c>
      <x:c r="E117" s="16" t="n">
        <x:v>543</x:v>
      </x:c>
      <x:c r="F117" s="16" t="n">
        <x:v>49</x:v>
      </x:c>
      <x:c r="G117" s="16" t="n">
        <x:v>741</x:v>
      </x:c>
      <x:c r="H117" s="16" t="n">
        <x:v>675</x:v>
      </x:c>
      <x:c r="I117" s="16" t="n">
        <x:v>1</x:v>
      </x:c>
      <x:c r="J117" s="16" t="n">
        <x:f>H117-F117+1</x:f>
        <x:v>627</x:v>
      </x:c>
      <x:c r="K117" s="17" t="n">
        <x:f>IF(I117=1,C117/J117,"")</x:f>
        <x:v>0.29984051036682613</x:v>
      </x:c>
      <x:c r="L117" s="17" t="n">
        <x:f>C117/D117</x:f>
        <x:v>0.94</x:v>
      </x:c>
      <x:c r="M117" s="18" t="n">
        <x:f>IF(I117=1,J117*('校正統計'!$B$7*D117+'校正統計'!$B$8),"")</x:f>
        <x:v>186.20692360649994</x:v>
      </x:c>
      <x:c r="N117" s="18" t="n">
        <x:f>IF(I117=1,M117-C117,"")</x:f>
        <x:v>-1.7930763935000584</x:v>
      </x:c>
      <x:c r="O117" s="18" t="n">
        <x:f>IF(I117=1,J117*D117/'校正統計'!$B$9,"")</x:f>
        <x:v>185.26359020708765</x:v>
      </x:c>
      <x:c r="P117" s="18" t="n">
        <x:f>IF(I117=1,O117-C117,"")</x:f>
        <x:v>-2.7364097929123545</x:v>
      </x:c>
      <x:c r="Q117" s="18" t="n">
        <x:f>IF(I117=1,J117*(0.0013599938652549585*D117+0.014432794417975773)-C117,"")</x:f>
        <x:v>-8.407407196957394</x:v>
      </x:c>
      <x:c r="R117" s="18" t="n">
        <x:f>IF(I117=1,J117*D117/697.7877515437722-C117,"")</x:f>
        <x:v>-8.289192920673287</x:v>
      </x:c>
      <x:c r="S117" s="18" t="n">
        <x:f>IF(I117=1,J117*L117,0)</x:f>
        <x:v>589.38</x:v>
      </x:c>
      <x:c r="T117" s="18" t="n">
        <x:f>IF(I117=1,L117^2,0)</x:f>
        <x:v>0.8835999999999999</x:v>
      </x:c>
      <x:c r="U117" s="16" t="n">
        <x:f>IF(I117=1,J117,"")</x:f>
        <x:v>627</x:v>
      </x:c>
      <x:c r="V117" s="3" t="str">
        <x:v>完整頭腳；納入</x:v>
      </x:c>
    </x:row>
    <x:row r="118" ht="26" customHeight="1">
      <x:c r="A118" s="3" t="str">
        <x:v>188_huang/200 (2).jpg</x:v>
      </x:c>
      <x:c r="B118" s="3" t="str">
        <x:v>188_huang</x:v>
      </x:c>
      <x:c r="C118" s="16" t="n">
        <x:v>188</x:v>
      </x:c>
      <x:c r="D118" s="16" t="n">
        <x:v>200</x:v>
      </x:c>
      <x:c r="E118" s="16" t="n">
        <x:v>543</x:v>
      </x:c>
      <x:c r="F118" s="16" t="n">
        <x:v>54</x:v>
      </x:c>
      <x:c r="G118" s="16" t="n">
        <x:v>741</x:v>
      </x:c>
      <x:c r="H118" s="16" t="n">
        <x:v>678</x:v>
      </x:c>
      <x:c r="I118" s="16" t="n">
        <x:v>1</x:v>
      </x:c>
      <x:c r="J118" s="16" t="n">
        <x:f>H118-F118+1</x:f>
        <x:v>625</x:v>
      </x:c>
      <x:c r="K118" s="17" t="n">
        <x:f>IF(I118=1,C118/J118,"")</x:f>
        <x:v>0.3008</x:v>
      </x:c>
      <x:c r="L118" s="17" t="n">
        <x:f>C118/D118</x:f>
        <x:v>0.94</x:v>
      </x:c>
      <x:c r="M118" s="18" t="n">
        <x:f>IF(I118=1,J118*('校正統計'!$B$7*D118+'校正統計'!$B$8),"")</x:f>
        <x:v>185.61296212769133</x:v>
      </x:c>
      <x:c r="N118" s="18" t="n">
        <x:f>IF(I118=1,M118-C118,"")</x:f>
        <x:v>-2.3870378723086674</x:v>
      </x:c>
      <x:c r="O118" s="18" t="n">
        <x:f>IF(I118=1,J118*D118/'校正統計'!$B$9,"")</x:f>
        <x:v>184.67263776623568</x:v>
      </x:c>
      <x:c r="P118" s="18" t="n">
        <x:f>IF(I118=1,O118-C118,"")</x:f>
        <x:v>-3.327362233764319</x:v>
      </x:c>
      <x:c r="Q118" s="18" t="n">
        <x:f>IF(I118=1,J118*(0.0013599938652549585*D118+0.014432794417975773)-C118,"")</x:f>
        <x:v>-8.980270331895326</x:v>
      </x:c>
      <x:c r="R118" s="18" t="n">
        <x:f>IF(I118=1,J118*D118/697.7877515437722-C118,"")</x:f>
        <x:v>-8.86243313464243</x:v>
      </x:c>
      <x:c r="S118" s="18" t="n">
        <x:f>IF(I118=1,J118*L118,0)</x:f>
        <x:v>587.5</x:v>
      </x:c>
      <x:c r="T118" s="18" t="n">
        <x:f>IF(I118=1,L118^2,0)</x:f>
        <x:v>0.8835999999999999</x:v>
      </x:c>
      <x:c r="U118" s="16" t="n">
        <x:f>IF(I118=1,J118,"")</x:f>
        <x:v>625</x:v>
      </x:c>
      <x:c r="V118" s="3" t="str">
        <x:v>完整頭腳；納入</x:v>
      </x:c>
    </x:row>
    <x:row r="119" ht="26" customHeight="1">
      <x:c r="A119" s="3" t="str">
        <x:v>188_huang/200 (3).jpg</x:v>
      </x:c>
      <x:c r="B119" s="3" t="str">
        <x:v>188_huang</x:v>
      </x:c>
      <x:c r="C119" s="16" t="n">
        <x:v>188</x:v>
      </x:c>
      <x:c r="D119" s="16" t="n">
        <x:v>200</x:v>
      </x:c>
      <x:c r="E119" s="16" t="n">
        <x:v>543</x:v>
      </x:c>
      <x:c r="F119" s="16" t="n">
        <x:v>49</x:v>
      </x:c>
      <x:c r="G119" s="16" t="n">
        <x:v>739</x:v>
      </x:c>
      <x:c r="H119" s="16" t="n">
        <x:v>675</x:v>
      </x:c>
      <x:c r="I119" s="16" t="n">
        <x:v>1</x:v>
      </x:c>
      <x:c r="J119" s="16" t="n">
        <x:f>H119-F119+1</x:f>
        <x:v>627</x:v>
      </x:c>
      <x:c r="K119" s="17" t="n">
        <x:f>IF(I119=1,C119/J119,"")</x:f>
        <x:v>0.29984051036682613</x:v>
      </x:c>
      <x:c r="L119" s="17" t="n">
        <x:f>C119/D119</x:f>
        <x:v>0.94</x:v>
      </x:c>
      <x:c r="M119" s="18" t="n">
        <x:f>IF(I119=1,J119*('校正統計'!$B$7*D119+'校正統計'!$B$8),"")</x:f>
        <x:v>186.20692360649994</x:v>
      </x:c>
      <x:c r="N119" s="18" t="n">
        <x:f>IF(I119=1,M119-C119,"")</x:f>
        <x:v>-1.7930763935000584</x:v>
      </x:c>
      <x:c r="O119" s="18" t="n">
        <x:f>IF(I119=1,J119*D119/'校正統計'!$B$9,"")</x:f>
        <x:v>185.26359020708765</x:v>
      </x:c>
      <x:c r="P119" s="18" t="n">
        <x:f>IF(I119=1,O119-C119,"")</x:f>
        <x:v>-2.7364097929123545</x:v>
      </x:c>
      <x:c r="Q119" s="18" t="n">
        <x:f>IF(I119=1,J119*(0.0013599938652549585*D119+0.014432794417975773)-C119,"")</x:f>
        <x:v>-8.407407196957394</x:v>
      </x:c>
      <x:c r="R119" s="18" t="n">
        <x:f>IF(I119=1,J119*D119/697.7877515437722-C119,"")</x:f>
        <x:v>-8.289192920673287</x:v>
      </x:c>
      <x:c r="S119" s="18" t="n">
        <x:f>IF(I119=1,J119*L119,0)</x:f>
        <x:v>589.38</x:v>
      </x:c>
      <x:c r="T119" s="18" t="n">
        <x:f>IF(I119=1,L119^2,0)</x:f>
        <x:v>0.8835999999999999</x:v>
      </x:c>
      <x:c r="U119" s="16" t="n">
        <x:f>IF(I119=1,J119,"")</x:f>
        <x:v>627</x:v>
      </x:c>
      <x:c r="V119" s="3" t="str">
        <x:v>完整頭腳；納入</x:v>
      </x:c>
    </x:row>
    <x:row r="120" ht="26" customHeight="1">
      <x:c r="A120" s="3" t="str">
        <x:v>188_huang/200 (4).jpg</x:v>
      </x:c>
      <x:c r="B120" s="3" t="str">
        <x:v>188_huang</x:v>
      </x:c>
      <x:c r="C120" s="16" t="n">
        <x:v>188</x:v>
      </x:c>
      <x:c r="D120" s="16" t="n">
        <x:v>200</x:v>
      </x:c>
      <x:c r="E120" s="16" t="n">
        <x:v>541</x:v>
      </x:c>
      <x:c r="F120" s="16" t="n">
        <x:v>50</x:v>
      </x:c>
      <x:c r="G120" s="16" t="n">
        <x:v>739</x:v>
      </x:c>
      <x:c r="H120" s="16" t="n">
        <x:v>676</x:v>
      </x:c>
      <x:c r="I120" s="16" t="n">
        <x:v>1</x:v>
      </x:c>
      <x:c r="J120" s="16" t="n">
        <x:f>H120-F120+1</x:f>
        <x:v>627</x:v>
      </x:c>
      <x:c r="K120" s="17" t="n">
        <x:f>IF(I120=1,C120/J120,"")</x:f>
        <x:v>0.29984051036682613</x:v>
      </x:c>
      <x:c r="L120" s="17" t="n">
        <x:f>C120/D120</x:f>
        <x:v>0.94</x:v>
      </x:c>
      <x:c r="M120" s="18" t="n">
        <x:f>IF(I120=1,J120*('校正統計'!$B$7*D120+'校正統計'!$B$8),"")</x:f>
        <x:v>186.20692360649994</x:v>
      </x:c>
      <x:c r="N120" s="18" t="n">
        <x:f>IF(I120=1,M120-C120,"")</x:f>
        <x:v>-1.7930763935000584</x:v>
      </x:c>
      <x:c r="O120" s="18" t="n">
        <x:f>IF(I120=1,J120*D120/'校正統計'!$B$9,"")</x:f>
        <x:v>185.26359020708765</x:v>
      </x:c>
      <x:c r="P120" s="18" t="n">
        <x:f>IF(I120=1,O120-C120,"")</x:f>
        <x:v>-2.7364097929123545</x:v>
      </x:c>
      <x:c r="Q120" s="18" t="n">
        <x:f>IF(I120=1,J120*(0.0013599938652549585*D120+0.014432794417975773)-C120,"")</x:f>
        <x:v>-8.407407196957394</x:v>
      </x:c>
      <x:c r="R120" s="18" t="n">
        <x:f>IF(I120=1,J120*D120/697.7877515437722-C120,"")</x:f>
        <x:v>-8.289192920673287</x:v>
      </x:c>
      <x:c r="S120" s="18" t="n">
        <x:f>IF(I120=1,J120*L120,0)</x:f>
        <x:v>589.38</x:v>
      </x:c>
      <x:c r="T120" s="18" t="n">
        <x:f>IF(I120=1,L120^2,0)</x:f>
        <x:v>0.8835999999999999</x:v>
      </x:c>
      <x:c r="U120" s="16" t="n">
        <x:f>IF(I120=1,J120,"")</x:f>
        <x:v>627</x:v>
      </x:c>
      <x:c r="V120" s="3" t="str">
        <x:v>完整頭腳；納入</x:v>
      </x:c>
    </x:row>
    <x:row r="121" ht="26" customHeight="1">
      <x:c r="A121" s="3" t="str">
        <x:v>188_huang/200 (5).jpg</x:v>
      </x:c>
      <x:c r="B121" s="3" t="str">
        <x:v>188_huang</x:v>
      </x:c>
      <x:c r="C121" s="16" t="n">
        <x:v>188</x:v>
      </x:c>
      <x:c r="D121" s="16" t="n">
        <x:v>200</x:v>
      </x:c>
      <x:c r="E121" s="16" t="n">
        <x:v>543</x:v>
      </x:c>
      <x:c r="F121" s="16" t="n">
        <x:v>48</x:v>
      </x:c>
      <x:c r="G121" s="16" t="n">
        <x:v>740</x:v>
      </x:c>
      <x:c r="H121" s="16" t="n">
        <x:v>674</x:v>
      </x:c>
      <x:c r="I121" s="16" t="n">
        <x:v>1</x:v>
      </x:c>
      <x:c r="J121" s="16" t="n">
        <x:f>H121-F121+1</x:f>
        <x:v>627</x:v>
      </x:c>
      <x:c r="K121" s="17" t="n">
        <x:f>IF(I121=1,C121/J121,"")</x:f>
        <x:v>0.29984051036682613</x:v>
      </x:c>
      <x:c r="L121" s="17" t="n">
        <x:f>C121/D121</x:f>
        <x:v>0.94</x:v>
      </x:c>
      <x:c r="M121" s="18" t="n">
        <x:f>IF(I121=1,J121*('校正統計'!$B$7*D121+'校正統計'!$B$8),"")</x:f>
        <x:v>186.20692360649994</x:v>
      </x:c>
      <x:c r="N121" s="18" t="n">
        <x:f>IF(I121=1,M121-C121,"")</x:f>
        <x:v>-1.7930763935000584</x:v>
      </x:c>
      <x:c r="O121" s="18" t="n">
        <x:f>IF(I121=1,J121*D121/'校正統計'!$B$9,"")</x:f>
        <x:v>185.26359020708765</x:v>
      </x:c>
      <x:c r="P121" s="18" t="n">
        <x:f>IF(I121=1,O121-C121,"")</x:f>
        <x:v>-2.7364097929123545</x:v>
      </x:c>
      <x:c r="Q121" s="18" t="n">
        <x:f>IF(I121=1,J121*(0.0013599938652549585*D121+0.014432794417975773)-C121,"")</x:f>
        <x:v>-8.407407196957394</x:v>
      </x:c>
      <x:c r="R121" s="18" t="n">
        <x:f>IF(I121=1,J121*D121/697.7877515437722-C121,"")</x:f>
        <x:v>-8.289192920673287</x:v>
      </x:c>
      <x:c r="S121" s="18" t="n">
        <x:f>IF(I121=1,J121*L121,0)</x:f>
        <x:v>589.38</x:v>
      </x:c>
      <x:c r="T121" s="18" t="n">
        <x:f>IF(I121=1,L121^2,0)</x:f>
        <x:v>0.8835999999999999</x:v>
      </x:c>
      <x:c r="U121" s="16" t="n">
        <x:f>IF(I121=1,J121,"")</x:f>
        <x:v>627</x:v>
      </x:c>
      <x:c r="V121" s="3" t="str">
        <x:v>完整頭腳；納入</x:v>
      </x:c>
    </x:row>
    <x:row r="122" ht="26" customHeight="1">
      <x:c r="A122" s="3" t="str">
        <x:v>188_huang/200 (6).jpg</x:v>
      </x:c>
      <x:c r="B122" s="3" t="str">
        <x:v>188_huang</x:v>
      </x:c>
      <x:c r="C122" s="16" t="n">
        <x:v>188</x:v>
      </x:c>
      <x:c r="D122" s="16" t="n">
        <x:v>200</x:v>
      </x:c>
      <x:c r="E122" s="16" t="n">
        <x:v>542</x:v>
      </x:c>
      <x:c r="F122" s="16" t="n">
        <x:v>49</x:v>
      </x:c>
      <x:c r="G122" s="16" t="n">
        <x:v>741</x:v>
      </x:c>
      <x:c r="H122" s="16" t="n">
        <x:v>674</x:v>
      </x:c>
      <x:c r="I122" s="16" t="n">
        <x:v>1</x:v>
      </x:c>
      <x:c r="J122" s="16" t="n">
        <x:f>H122-F122+1</x:f>
        <x:v>626</x:v>
      </x:c>
      <x:c r="K122" s="17" t="n">
        <x:f>IF(I122=1,C122/J122,"")</x:f>
        <x:v>0.3003194888178914</x:v>
      </x:c>
      <x:c r="L122" s="17" t="n">
        <x:f>C122/D122</x:f>
        <x:v>0.94</x:v>
      </x:c>
      <x:c r="M122" s="18" t="n">
        <x:f>IF(I122=1,J122*('校正統計'!$B$7*D122+'校正統計'!$B$8),"")</x:f>
        <x:v>185.90994286709565</x:v>
      </x:c>
      <x:c r="N122" s="18" t="n">
        <x:f>IF(I122=1,M122-C122,"")</x:f>
        <x:v>-2.0900571329043487</x:v>
      </x:c>
      <x:c r="O122" s="18" t="n">
        <x:f>IF(I122=1,J122*D122/'校正統計'!$B$9,"")</x:f>
        <x:v>184.96811398666165</x:v>
      </x:c>
      <x:c r="P122" s="18" t="n">
        <x:f>IF(I122=1,O122-C122,"")</x:f>
        <x:v>-3.031886013338351</x:v>
      </x:c>
      <x:c r="Q122" s="18" t="n">
        <x:f>IF(I122=1,J122*(0.0013599938652549585*D122+0.014432794417975773)-C122,"")</x:f>
        <x:v>-8.693838764426374</x:v>
      </x:c>
      <x:c r="R122" s="18" t="n">
        <x:f>IF(I122=1,J122*D122/697.7877515437722-C122,"")</x:f>
        <x:v>-8.575813027657858</x:v>
      </x:c>
      <x:c r="S122" s="18" t="n">
        <x:f>IF(I122=1,J122*L122,0)</x:f>
        <x:v>588.4399999999999</x:v>
      </x:c>
      <x:c r="T122" s="18" t="n">
        <x:f>IF(I122=1,L122^2,0)</x:f>
        <x:v>0.8835999999999999</x:v>
      </x:c>
      <x:c r="U122" s="16" t="n">
        <x:f>IF(I122=1,J122,"")</x:f>
        <x:v>626</x:v>
      </x:c>
      <x:c r="V122" s="3" t="str">
        <x:v>完整頭腳；納入</x:v>
      </x:c>
    </x:row>
    <x:row r="123" ht="26" customHeight="1">
      <x:c r="A123" s="3" t="str">
        <x:v>188_huang/200 (7).jpg</x:v>
      </x:c>
      <x:c r="B123" s="3" t="str">
        <x:v>188_huang</x:v>
      </x:c>
      <x:c r="C123" s="16" t="n">
        <x:v>188</x:v>
      </x:c>
      <x:c r="D123" s="16" t="n">
        <x:v>200</x:v>
      </x:c>
      <x:c r="E123" s="16" t="n">
        <x:v>544</x:v>
      </x:c>
      <x:c r="F123" s="16" t="n">
        <x:v>47</x:v>
      </x:c>
      <x:c r="G123" s="16" t="n">
        <x:v>743</x:v>
      </x:c>
      <x:c r="H123" s="16" t="n">
        <x:v>672</x:v>
      </x:c>
      <x:c r="I123" s="16" t="n">
        <x:v>1</x:v>
      </x:c>
      <x:c r="J123" s="16" t="n">
        <x:f>H123-F123+1</x:f>
        <x:v>626</x:v>
      </x:c>
      <x:c r="K123" s="17" t="n">
        <x:f>IF(I123=1,C123/J123,"")</x:f>
        <x:v>0.3003194888178914</x:v>
      </x:c>
      <x:c r="L123" s="17" t="n">
        <x:f>C123/D123</x:f>
        <x:v>0.94</x:v>
      </x:c>
      <x:c r="M123" s="18" t="n">
        <x:f>IF(I123=1,J123*('校正統計'!$B$7*D123+'校正統計'!$B$8),"")</x:f>
        <x:v>185.90994286709565</x:v>
      </x:c>
      <x:c r="N123" s="18" t="n">
        <x:f>IF(I123=1,M123-C123,"")</x:f>
        <x:v>-2.0900571329043487</x:v>
      </x:c>
      <x:c r="O123" s="18" t="n">
        <x:f>IF(I123=1,J123*D123/'校正統計'!$B$9,"")</x:f>
        <x:v>184.96811398666165</x:v>
      </x:c>
      <x:c r="P123" s="18" t="n">
        <x:f>IF(I123=1,O123-C123,"")</x:f>
        <x:v>-3.031886013338351</x:v>
      </x:c>
      <x:c r="Q123" s="18" t="n">
        <x:f>IF(I123=1,J123*(0.0013599938652549585*D123+0.014432794417975773)-C123,"")</x:f>
        <x:v>-8.693838764426374</x:v>
      </x:c>
      <x:c r="R123" s="18" t="n">
        <x:f>IF(I123=1,J123*D123/697.7877515437722-C123,"")</x:f>
        <x:v>-8.575813027657858</x:v>
      </x:c>
      <x:c r="S123" s="18" t="n">
        <x:f>IF(I123=1,J123*L123,0)</x:f>
        <x:v>588.4399999999999</x:v>
      </x:c>
      <x:c r="T123" s="18" t="n">
        <x:f>IF(I123=1,L123^2,0)</x:f>
        <x:v>0.8835999999999999</x:v>
      </x:c>
      <x:c r="U123" s="16" t="n">
        <x:f>IF(I123=1,J123,"")</x:f>
        <x:v>626</x:v>
      </x:c>
      <x:c r="V123" s="3" t="str">
        <x:v>完整頭腳；納入</x:v>
      </x:c>
    </x:row>
    <x:row r="124" ht="26" customHeight="1">
      <x:c r="A124" s="3" t="str">
        <x:v>188_huang/200 (8).jpg</x:v>
      </x:c>
      <x:c r="B124" s="3" t="str">
        <x:v>188_huang</x:v>
      </x:c>
      <x:c r="C124" s="16" t="n">
        <x:v>188</x:v>
      </x:c>
      <x:c r="D124" s="16" t="n">
        <x:v>200</x:v>
      </x:c>
      <x:c r="E124" s="16" t="n">
        <x:v>542</x:v>
      </x:c>
      <x:c r="F124" s="16" t="n">
        <x:v>48</x:v>
      </x:c>
      <x:c r="G124" s="16" t="n">
        <x:v>742</x:v>
      </x:c>
      <x:c r="H124" s="16" t="n">
        <x:v>674</x:v>
      </x:c>
      <x:c r="I124" s="16" t="n">
        <x:v>1</x:v>
      </x:c>
      <x:c r="J124" s="16" t="n">
        <x:f>H124-F124+1</x:f>
        <x:v>627</x:v>
      </x:c>
      <x:c r="K124" s="17" t="n">
        <x:f>IF(I124=1,C124/J124,"")</x:f>
        <x:v>0.29984051036682613</x:v>
      </x:c>
      <x:c r="L124" s="17" t="n">
        <x:f>C124/D124</x:f>
        <x:v>0.94</x:v>
      </x:c>
      <x:c r="M124" s="18" t="n">
        <x:f>IF(I124=1,J124*('校正統計'!$B$7*D124+'校正統計'!$B$8),"")</x:f>
        <x:v>186.20692360649994</x:v>
      </x:c>
      <x:c r="N124" s="18" t="n">
        <x:f>IF(I124=1,M124-C124,"")</x:f>
        <x:v>-1.7930763935000584</x:v>
      </x:c>
      <x:c r="O124" s="18" t="n">
        <x:f>IF(I124=1,J124*D124/'校正統計'!$B$9,"")</x:f>
        <x:v>185.26359020708765</x:v>
      </x:c>
      <x:c r="P124" s="18" t="n">
        <x:f>IF(I124=1,O124-C124,"")</x:f>
        <x:v>-2.7364097929123545</x:v>
      </x:c>
      <x:c r="Q124" s="18" t="n">
        <x:f>IF(I124=1,J124*(0.0013599938652549585*D124+0.014432794417975773)-C124,"")</x:f>
        <x:v>-8.407407196957394</x:v>
      </x:c>
      <x:c r="R124" s="18" t="n">
        <x:f>IF(I124=1,J124*D124/697.7877515437722-C124,"")</x:f>
        <x:v>-8.289192920673287</x:v>
      </x:c>
      <x:c r="S124" s="18" t="n">
        <x:f>IF(I124=1,J124*L124,0)</x:f>
        <x:v>589.38</x:v>
      </x:c>
      <x:c r="T124" s="18" t="n">
        <x:f>IF(I124=1,L124^2,0)</x:f>
        <x:v>0.8835999999999999</x:v>
      </x:c>
      <x:c r="U124" s="16" t="n">
        <x:f>IF(I124=1,J124,"")</x:f>
        <x:v>627</x:v>
      </x:c>
      <x:c r="V124" s="3" t="str">
        <x:v>完整頭腳；納入</x:v>
      </x:c>
    </x:row>
    <x:row r="125" ht="26" customHeight="1">
      <x:c r="A125" s="3" t="str">
        <x:v>188_huang/220 (1).jpg</x:v>
      </x:c>
      <x:c r="B125" s="3" t="str">
        <x:v>188_huang</x:v>
      </x:c>
      <x:c r="C125" s="16" t="n">
        <x:v>188</x:v>
      </x:c>
      <x:c r="D125" s="16" t="n">
        <x:v>220</x:v>
      </x:c>
      <x:c r="E125" s="16" t="n">
        <x:v>551</x:v>
      </x:c>
      <x:c r="F125" s="16" t="n">
        <x:v>71</x:v>
      </x:c>
      <x:c r="G125" s="16" t="n">
        <x:v>734</x:v>
      </x:c>
      <x:c r="H125" s="16" t="n">
        <x:v>651</x:v>
      </x:c>
      <x:c r="I125" s="16" t="n">
        <x:v>1</x:v>
      </x:c>
      <x:c r="J125" s="16" t="n">
        <x:f>H125-F125+1</x:f>
        <x:v>581</x:v>
      </x:c>
      <x:c r="K125" s="17" t="n">
        <x:f>IF(I125=1,C125/J125,"")</x:f>
        <x:v>0.32358003442340794</x:v>
      </x:c>
      <x:c r="L125" s="17" t="n">
        <x:f>C125/D125</x:f>
        <x:v>0.8545454545454545</x:v>
      </x:c>
      <x:c r="M125" s="18" t="n">
        <x:f>IF(I125=1,J125*('校正統計'!$B$7*D125+'校正統計'!$B$8),"")</x:f>
        <x:v>188.51850884167942</x:v>
      </x:c>
      <x:c r="N125" s="18" t="n">
        <x:f>IF(I125=1,M125-C125,"")</x:f>
        <x:v>0.5185088416794201</x:v>
      </x:c>
      <x:c r="O125" s="18" t="n">
        <x:f>IF(I125=1,J125*D125/'校正統計'!$B$9,"")</x:f>
        <x:v>188.83885247424195</x:v>
      </x:c>
      <x:c r="P125" s="18" t="n">
        <x:f>IF(I125=1,O125-C125,"")</x:f>
        <x:v>0.8388524742419463</x:v>
      </x:c>
      <x:c r="Q125" s="18" t="n">
        <x:f>IF(I125=1,J125*(0.0013599938652549585*D125+0.014432794417975773)-C125,"")</x:f>
        <x:v>-5.780130586267262</x:v>
      </x:c>
      <x:c r="R125" s="18" t="n">
        <x:f>IF(I125=1,J125*D125/697.7877515437722-C125,"")</x:f>
        <x:v>-4.82108962615996</x:v>
      </x:c>
      <x:c r="S125" s="18" t="n">
        <x:f>IF(I125=1,J125*L125,0)</x:f>
        <x:v>496.49090909090904</x:v>
      </x:c>
      <x:c r="T125" s="18" t="n">
        <x:f>IF(I125=1,L125^2,0)</x:f>
        <x:v>0.7302479338842974</x:v>
      </x:c>
      <x:c r="U125" s="16" t="n">
        <x:f>IF(I125=1,J125,"")</x:f>
        <x:v>581</x:v>
      </x:c>
      <x:c r="V125" s="3" t="str">
        <x:v>完整頭腳；納入</x:v>
      </x:c>
    </x:row>
    <x:row r="126" ht="26" customHeight="1">
      <x:c r="A126" s="3" t="str">
        <x:v>188_huang/220 (2).jpg</x:v>
      </x:c>
      <x:c r="B126" s="3" t="str">
        <x:v>188_huang</x:v>
      </x:c>
      <x:c r="C126" s="16" t="n">
        <x:v>188</x:v>
      </x:c>
      <x:c r="D126" s="16" t="n">
        <x:v>220</x:v>
      </x:c>
      <x:c r="E126" s="16" t="n">
        <x:v>548</x:v>
      </x:c>
      <x:c r="F126" s="16" t="n">
        <x:v>70</x:v>
      </x:c>
      <x:c r="G126" s="16" t="n">
        <x:v>734</x:v>
      </x:c>
      <x:c r="H126" s="16" t="n">
        <x:v>652</x:v>
      </x:c>
      <x:c r="I126" s="16" t="n">
        <x:v>1</x:v>
      </x:c>
      <x:c r="J126" s="16" t="n">
        <x:f>H126-F126+1</x:f>
        <x:v>583</x:v>
      </x:c>
      <x:c r="K126" s="17" t="n">
        <x:f>IF(I126=1,C126/J126,"")</x:f>
        <x:v>0.32246998284734135</x:v>
      </x:c>
      <x:c r="L126" s="17" t="n">
        <x:f>C126/D126</x:f>
        <x:v>0.8545454545454545</x:v>
      </x:c>
      <x:c r="M126" s="18" t="n">
        <x:f>IF(I126=1,J126*('校正統計'!$B$7*D126+'校正統計'!$B$8),"")</x:f>
        <x:v>189.16745379466283</x:v>
      </x:c>
      <x:c r="N126" s="18" t="n">
        <x:f>IF(I126=1,M126-C126,"")</x:f>
        <x:v>1.1674537946628334</x:v>
      </x:c>
      <x:c r="O126" s="18" t="n">
        <x:f>IF(I126=1,J126*D126/'校正統計'!$B$9,"")</x:f>
        <x:v>189.4889001591791</x:v>
      </x:c>
      <x:c r="P126" s="18" t="n">
        <x:f>IF(I126=1,O126-C126,"")</x:f>
        <x:v>1.48890015917911</x:v>
      </x:c>
      <x:c r="Q126" s="18" t="n">
        <x:f>IF(I126=1,J126*(0.0013599938652549585*D126+0.014432794417975773)-C126,"")</x:f>
        <x:v>-5.152867696719113</x:v>
      </x:c>
      <x:c r="R126" s="18" t="n">
        <x:f>IF(I126=1,J126*D126/697.7877515437722-C126,"")</x:f>
        <x:v>-4.190525390793908</x:v>
      </x:c>
      <x:c r="S126" s="18" t="n">
        <x:f>IF(I126=1,J126*L126,0)</x:f>
        <x:v>498.2</x:v>
      </x:c>
      <x:c r="T126" s="18" t="n">
        <x:f>IF(I126=1,L126^2,0)</x:f>
        <x:v>0.7302479338842974</x:v>
      </x:c>
      <x:c r="U126" s="16" t="n">
        <x:f>IF(I126=1,J126,"")</x:f>
        <x:v>583</x:v>
      </x:c>
      <x:c r="V126" s="3" t="str">
        <x:v>完整頭腳；納入</x:v>
      </x:c>
    </x:row>
    <x:row r="127" ht="26" customHeight="1">
      <x:c r="A127" s="3" t="str">
        <x:v>188_huang/220 (3).jpg</x:v>
      </x:c>
      <x:c r="B127" s="3" t="str">
        <x:v>188_huang</x:v>
      </x:c>
      <x:c r="C127" s="16" t="n">
        <x:v>188</x:v>
      </x:c>
      <x:c r="D127" s="16" t="n">
        <x:v>220</x:v>
      </x:c>
      <x:c r="E127" s="16" t="n">
        <x:v>550</x:v>
      </x:c>
      <x:c r="F127" s="16" t="n">
        <x:v>73</x:v>
      </x:c>
      <x:c r="G127" s="16" t="n">
        <x:v>734</x:v>
      </x:c>
      <x:c r="H127" s="16" t="n">
        <x:v>652</x:v>
      </x:c>
      <x:c r="I127" s="16" t="n">
        <x:v>1</x:v>
      </x:c>
      <x:c r="J127" s="16" t="n">
        <x:f>H127-F127+1</x:f>
        <x:v>580</x:v>
      </x:c>
      <x:c r="K127" s="17" t="n">
        <x:f>IF(I127=1,C127/J127,"")</x:f>
        <x:v>0.32413793103448274</x:v>
      </x:c>
      <x:c r="L127" s="17" t="n">
        <x:f>C127/D127</x:f>
        <x:v>0.8545454545454545</x:v>
      </x:c>
      <x:c r="M127" s="18" t="n">
        <x:f>IF(I127=1,J127*('校正統計'!$B$7*D127+'校正統計'!$B$8),"")</x:f>
        <x:v>188.1940363651877</x:v>
      </x:c>
      <x:c r="N127" s="18" t="n">
        <x:f>IF(I127=1,M127-C127,"")</x:f>
        <x:v>0.1940363651877135</x:v>
      </x:c>
      <x:c r="O127" s="18" t="n">
        <x:f>IF(I127=1,J127*D127/'校正統計'!$B$9,"")</x:f>
        <x:v>188.51382863177338</x:v>
      </x:c>
      <x:c r="P127" s="18" t="n">
        <x:f>IF(I127=1,O127-C127,"")</x:f>
        <x:v>0.5138286317733787</x:v>
      </x:c>
      <x:c r="Q127" s="18" t="n">
        <x:f>IF(I127=1,J127*(0.0013599938652549585*D127+0.014432794417975773)-C127,"")</x:f>
        <x:v>-6.0937620310413365</x:v>
      </x:c>
      <x:c r="R127" s="18" t="n">
        <x:f>IF(I127=1,J127*D127/697.7877515437722-C127,"")</x:f>
        <x:v>-5.136371743843</x:v>
      </x:c>
      <x:c r="S127" s="18" t="n">
        <x:f>IF(I127=1,J127*L127,0)</x:f>
        <x:v>495.6363636363636</x:v>
      </x:c>
      <x:c r="T127" s="18" t="n">
        <x:f>IF(I127=1,L127^2,0)</x:f>
        <x:v>0.7302479338842974</x:v>
      </x:c>
      <x:c r="U127" s="16" t="n">
        <x:f>IF(I127=1,J127,"")</x:f>
        <x:v>580</x:v>
      </x:c>
      <x:c r="V127" s="3" t="str">
        <x:v>完整頭腳；納入</x:v>
      </x:c>
    </x:row>
    <x:row r="128" ht="26" customHeight="1">
      <x:c r="A128" s="3" t="str">
        <x:v>188_huang/220 (4).jpg</x:v>
      </x:c>
      <x:c r="B128" s="3" t="str">
        <x:v>188_huang</x:v>
      </x:c>
      <x:c r="C128" s="16" t="n">
        <x:v>188</x:v>
      </x:c>
      <x:c r="D128" s="16" t="n">
        <x:v>220</x:v>
      </x:c>
      <x:c r="E128" s="16" t="n">
        <x:v>549</x:v>
      </x:c>
      <x:c r="F128" s="16" t="n">
        <x:v>71</x:v>
      </x:c>
      <x:c r="G128" s="16" t="n">
        <x:v>734</x:v>
      </x:c>
      <x:c r="H128" s="16" t="n">
        <x:v>652</x:v>
      </x:c>
      <x:c r="I128" s="16" t="n">
        <x:v>1</x:v>
      </x:c>
      <x:c r="J128" s="16" t="n">
        <x:f>H128-F128+1</x:f>
        <x:v>582</x:v>
      </x:c>
      <x:c r="K128" s="17" t="n">
        <x:f>IF(I128=1,C128/J128,"")</x:f>
        <x:v>0.3230240549828179</x:v>
      </x:c>
      <x:c r="L128" s="17" t="n">
        <x:f>C128/D128</x:f>
        <x:v>0.8545454545454545</x:v>
      </x:c>
      <x:c r="M128" s="18" t="n">
        <x:f>IF(I128=1,J128*('校正統計'!$B$7*D128+'校正統計'!$B$8),"")</x:f>
        <x:v>188.84298131817113</x:v>
      </x:c>
      <x:c r="N128" s="18" t="n">
        <x:f>IF(I128=1,M128-C128,"")</x:f>
        <x:v>0.8429813181711268</x:v>
      </x:c>
      <x:c r="O128" s="18" t="n">
        <x:f>IF(I128=1,J128*D128/'校正統計'!$B$9,"")</x:f>
        <x:v>189.16387631671054</x:v>
      </x:c>
      <x:c r="P128" s="18" t="n">
        <x:f>IF(I128=1,O128-C128,"")</x:f>
        <x:v>1.1638763167105424</x:v>
      </x:c>
      <x:c r="Q128" s="18" t="n">
        <x:f>IF(I128=1,J128*(0.0013599938652549585*D128+0.014432794417975773)-C128,"")</x:f>
        <x:v>-5.466499141493188</x:v>
      </x:c>
      <x:c r="R128" s="18" t="n">
        <x:f>IF(I128=1,J128*D128/697.7877515437722-C128,"")</x:f>
        <x:v>-4.505807508476948</x:v>
      </x:c>
      <x:c r="S128" s="18" t="n">
        <x:f>IF(I128=1,J128*L128,0)</x:f>
        <x:v>497.3454545454545</x:v>
      </x:c>
      <x:c r="T128" s="18" t="n">
        <x:f>IF(I128=1,L128^2,0)</x:f>
        <x:v>0.7302479338842974</x:v>
      </x:c>
      <x:c r="U128" s="16" t="n">
        <x:f>IF(I128=1,J128,"")</x:f>
        <x:v>582</x:v>
      </x:c>
      <x:c r="V128" s="3" t="str">
        <x:v>完整頭腳；納入</x:v>
      </x:c>
    </x:row>
    <x:row r="129" ht="26" customHeight="1">
      <x:c r="A129" s="3" t="str">
        <x:v>188_huang/220 (5).jpg</x:v>
      </x:c>
      <x:c r="B129" s="3" t="str">
        <x:v>188_huang</x:v>
      </x:c>
      <x:c r="C129" s="16" t="n">
        <x:v>188</x:v>
      </x:c>
      <x:c r="D129" s="16" t="n">
        <x:v>220</x:v>
      </x:c>
      <x:c r="E129" s="16" t="n">
        <x:v>551</x:v>
      </x:c>
      <x:c r="F129" s="16" t="n">
        <x:v>68</x:v>
      </x:c>
      <x:c r="G129" s="16" t="n">
        <x:v>734</x:v>
      </x:c>
      <x:c r="H129" s="16" t="n">
        <x:v>652</x:v>
      </x:c>
      <x:c r="I129" s="16" t="n">
        <x:v>1</x:v>
      </x:c>
      <x:c r="J129" s="16" t="n">
        <x:f>H129-F129+1</x:f>
        <x:v>585</x:v>
      </x:c>
      <x:c r="K129" s="17" t="n">
        <x:f>IF(I129=1,C129/J129,"")</x:f>
        <x:v>0.3213675213675214</x:v>
      </x:c>
      <x:c r="L129" s="17" t="n">
        <x:f>C129/D129</x:f>
        <x:v>0.8545454545454545</x:v>
      </x:c>
      <x:c r="M129" s="18" t="n">
        <x:f>IF(I129=1,J129*('校正統計'!$B$7*D129+'校正統計'!$B$8),"")</x:f>
        <x:v>189.81639874764625</x:v>
      </x:c>
      <x:c r="N129" s="18" t="n">
        <x:f>IF(I129=1,M129-C129,"")</x:f>
        <x:v>1.8163987476462466</x:v>
      </x:c>
      <x:c r="O129" s="18" t="n">
        <x:f>IF(I129=1,J129*D129/'校正統計'!$B$9,"")</x:f>
        <x:v>190.13894784411625</x:v>
      </x:c>
      <x:c r="P129" s="18" t="n">
        <x:f>IF(I129=1,O129-C129,"")</x:f>
        <x:v>2.1389478441162453</x:v>
      </x:c>
      <x:c r="Q129" s="18" t="n">
        <x:f>IF(I129=1,J129*(0.0013599938652549585*D129+0.014432794417975773)-C129,"")</x:f>
        <x:v>-4.525604807170993</x:v>
      </x:c>
      <x:c r="R129" s="18" t="n">
        <x:f>IF(I129=1,J129*D129/697.7877515437722-C129,"")</x:f>
        <x:v>-3.5599611554278567</x:v>
      </x:c>
      <x:c r="S129" s="18" t="n">
        <x:f>IF(I129=1,J129*L129,0)</x:f>
        <x:v>499.9090909090909</x:v>
      </x:c>
      <x:c r="T129" s="18" t="n">
        <x:f>IF(I129=1,L129^2,0)</x:f>
        <x:v>0.7302479338842974</x:v>
      </x:c>
      <x:c r="U129" s="16" t="n">
        <x:f>IF(I129=1,J129,"")</x:f>
        <x:v>585</x:v>
      </x:c>
      <x:c r="V129" s="3" t="str">
        <x:v>完整頭腳；納入</x:v>
      </x:c>
    </x:row>
    <x:row r="130" ht="26" customHeight="1">
      <x:c r="A130" s="3" t="str">
        <x:v>188_huang/220 (6).jpg</x:v>
      </x:c>
      <x:c r="B130" s="3" t="str">
        <x:v>188_huang</x:v>
      </x:c>
      <x:c r="C130" s="16" t="n">
        <x:v>188</x:v>
      </x:c>
      <x:c r="D130" s="16" t="n">
        <x:v>220</x:v>
      </x:c>
      <x:c r="E130" s="16" t="n">
        <x:v>551</x:v>
      </x:c>
      <x:c r="F130" s="16" t="n">
        <x:v>69</x:v>
      </x:c>
      <x:c r="G130" s="16" t="n">
        <x:v>734</x:v>
      </x:c>
      <x:c r="H130" s="16" t="n">
        <x:v>652</x:v>
      </x:c>
      <x:c r="I130" s="16" t="n">
        <x:v>1</x:v>
      </x:c>
      <x:c r="J130" s="16" t="n">
        <x:f>H130-F130+1</x:f>
        <x:v>584</x:v>
      </x:c>
      <x:c r="K130" s="17" t="n">
        <x:f>IF(I130=1,C130/J130,"")</x:f>
        <x:v>0.3219178082191781</x:v>
      </x:c>
      <x:c r="L130" s="17" t="n">
        <x:f>C130/D130</x:f>
        <x:v>0.8545454545454545</x:v>
      </x:c>
      <x:c r="M130" s="18" t="n">
        <x:f>IF(I130=1,J130*('校正統計'!$B$7*D130+'校正統計'!$B$8),"")</x:f>
        <x:v>189.49192627115454</x:v>
      </x:c>
      <x:c r="N130" s="18" t="n">
        <x:f>IF(I130=1,M130-C130,"")</x:f>
        <x:v>1.49192627115454</x:v>
      </x:c>
      <x:c r="O130" s="18" t="n">
        <x:f>IF(I130=1,J130*D130/'校正統計'!$B$9,"")</x:f>
        <x:v>189.81392400164768</x:v>
      </x:c>
      <x:c r="P130" s="18" t="n">
        <x:f>IF(I130=1,O130-C130,"")</x:f>
        <x:v>1.8139240016476776</x:v>
      </x:c>
      <x:c r="Q130" s="18" t="n">
        <x:f>IF(I130=1,J130*(0.0013599938652549585*D130+0.014432794417975773)-C130,"")</x:f>
        <x:v>-4.839236251945067</x:v>
      </x:c>
      <x:c r="R130" s="18" t="n">
        <x:f>IF(I130=1,J130*D130/697.7877515437722-C130,"")</x:f>
        <x:v>-3.8752432731108684</x:v>
      </x:c>
      <x:c r="S130" s="18" t="n">
        <x:f>IF(I130=1,J130*L130,0)</x:f>
        <x:v>499.0545454545454</x:v>
      </x:c>
      <x:c r="T130" s="18" t="n">
        <x:f>IF(I130=1,L130^2,0)</x:f>
        <x:v>0.7302479338842974</x:v>
      </x:c>
      <x:c r="U130" s="16" t="n">
        <x:f>IF(I130=1,J130,"")</x:f>
        <x:v>584</x:v>
      </x:c>
      <x:c r="V130" s="3" t="str">
        <x:v>完整頭腳；納入</x:v>
      </x:c>
    </x:row>
    <x:row r="131" ht="26" customHeight="1">
      <x:c r="A131" s="3" t="str">
        <x:v>188_huang/240 (1).jpg</x:v>
      </x:c>
      <x:c r="B131" s="3" t="str">
        <x:v>188_huang</x:v>
      </x:c>
      <x:c r="C131" s="16" t="n">
        <x:v>188</x:v>
      </x:c>
      <x:c r="D131" s="16" t="n">
        <x:v>240</x:v>
      </x:c>
      <x:c r="E131" s="16" t="n">
        <x:v>563</x:v>
      </x:c>
      <x:c r="F131" s="16" t="n">
        <x:v>98</x:v>
      </x:c>
      <x:c r="G131" s="16" t="n">
        <x:v>728</x:v>
      </x:c>
      <x:c r="H131" s="16" t="n">
        <x:v>626</x:v>
      </x:c>
      <x:c r="I131" s="16" t="n">
        <x:v>1</x:v>
      </x:c>
      <x:c r="J131" s="16" t="n">
        <x:f>H131-F131+1</x:f>
        <x:v>529</x:v>
      </x:c>
      <x:c r="K131" s="17" t="n">
        <x:f>IF(I131=1,C131/J131,"")</x:f>
        <x:v>0.3553875236294896</x:v>
      </x:c>
      <x:c r="L131" s="17" t="n">
        <x:f>C131/D131</x:f>
        <x:v>0.7833333333333333</x:v>
      </x:c>
      <x:c r="M131" s="18" t="n">
        <x:f>IF(I131=1,J131*('校正統計'!$B$7*D131+'校正統計'!$B$8),"")</x:f>
        <x:v>186.18906898334384</x:v>
      </x:c>
      <x:c r="N131" s="18" t="n">
        <x:f>IF(I131=1,M131-C131,"")</x:f>
        <x:v>-1.8109310166561556</x:v>
      </x:c>
      <x:c r="O131" s="18" t="n">
        <x:f>IF(I131=1,J131*D131/'校正統計'!$B$9,"")</x:f>
        <x:v>187.56830472641025</x:v>
      </x:c>
      <x:c r="P131" s="18" t="n">
        <x:f>IF(I131=1,O131-C131,"")</x:f>
        <x:v>-0.431695273589753</x:v>
      </x:c>
      <x:c r="Q131" s="18" t="n">
        <x:f>IF(I131=1,J131*(0.0013599938652549585*D131+0.014432794417975773)-C131,"")</x:f>
        <x:v>-7.7002306201212605</x:v>
      </x:c>
      <x:c r="R131" s="18" t="n">
        <x:f>IF(I131=1,J131*D131/697.7877515437722-C131,"")</x:f>
        <x:v>-6.053556086193623</x:v>
      </x:c>
      <x:c r="S131" s="18" t="n">
        <x:f>IF(I131=1,J131*L131,0)</x:f>
        <x:v>414.3833333333333</x:v>
      </x:c>
      <x:c r="T131" s="18" t="n">
        <x:f>IF(I131=1,L131^2,0)</x:f>
        <x:v>0.6136111111111111</x:v>
      </x:c>
      <x:c r="U131" s="16" t="n">
        <x:f>IF(I131=1,J131,"")</x:f>
        <x:v>529</x:v>
      </x:c>
      <x:c r="V131" s="3" t="str">
        <x:v>Background person behind subject; own endpoints remain visible.</x:v>
      </x:c>
    </x:row>
    <x:row r="132" ht="26" customHeight="1">
      <x:c r="A132" s="3" t="str">
        <x:v>188_huang/240 (2).jpg</x:v>
      </x:c>
      <x:c r="B132" s="3" t="str">
        <x:v>188_huang</x:v>
      </x:c>
      <x:c r="C132" s="16" t="n">
        <x:v>188</x:v>
      </x:c>
      <x:c r="D132" s="16" t="n">
        <x:v>240</x:v>
      </x:c>
      <x:c r="E132" s="16" t="n">
        <x:v>565</x:v>
      </x:c>
      <x:c r="F132" s="16" t="n">
        <x:v>101</x:v>
      </x:c>
      <x:c r="G132" s="16" t="n">
        <x:v>728</x:v>
      </x:c>
      <x:c r="H132" s="16" t="n">
        <x:v>630</x:v>
      </x:c>
      <x:c r="I132" s="16" t="n">
        <x:v>1</x:v>
      </x:c>
      <x:c r="J132" s="16" t="n">
        <x:f>H132-F132+1</x:f>
        <x:v>530</x:v>
      </x:c>
      <x:c r="K132" s="17" t="n">
        <x:f>IF(I132=1,C132/J132,"")</x:f>
        <x:v>0.35471698113207545</x:v>
      </x:c>
      <x:c r="L132" s="17" t="n">
        <x:f>C132/D132</x:f>
        <x:v>0.7833333333333333</x:v>
      </x:c>
      <x:c r="M132" s="18" t="n">
        <x:f>IF(I132=1,J132*('校正統計'!$B$7*D132+'校正統計'!$B$8),"")</x:f>
        <x:v>186.54103319692294</x:v>
      </x:c>
      <x:c r="N132" s="18" t="n">
        <x:f>IF(I132=1,M132-C132,"")</x:f>
        <x:v>-1.458966803077061</x:v>
      </x:c>
      <x:c r="O132" s="18" t="n">
        <x:f>IF(I132=1,J132*D132/'校正統計'!$B$9,"")</x:f>
        <x:v>187.92287619092141</x:v>
      </x:c>
      <x:c r="P132" s="18" t="n">
        <x:f>IF(I132=1,O132-C132,"")</x:f>
        <x:v>-0.07712380907858574</x:v>
      </x:c>
      <x:c r="Q132" s="18" t="n">
        <x:f>IF(I132=1,J132*(0.0013599938652549585*D132+0.014432794417975773)-C132,"")</x:f>
        <x:v>-7.359399298042121</x:v>
      </x:c>
      <x:c r="R132" s="18" t="n">
        <x:f>IF(I132=1,J132*D132/697.7877515437722-C132,"")</x:f>
        <x:v>-5.709611957812143</x:v>
      </x:c>
      <x:c r="S132" s="18" t="n">
        <x:f>IF(I132=1,J132*L132,0)</x:f>
        <x:v>415.1666666666667</x:v>
      </x:c>
      <x:c r="T132" s="18" t="n">
        <x:f>IF(I132=1,L132^2,0)</x:f>
        <x:v>0.6136111111111111</x:v>
      </x:c>
      <x:c r="U132" s="16" t="n">
        <x:f>IF(I132=1,J132,"")</x:f>
        <x:v>530</x:v>
      </x:c>
      <x:c r="V132" s="3" t="str">
        <x:v>完整頭腳；納入</x:v>
      </x:c>
    </x:row>
    <x:row r="133" ht="26" customHeight="1">
      <x:c r="A133" s="3" t="str">
        <x:v>188_huang/240 (3).jpg</x:v>
      </x:c>
      <x:c r="B133" s="3" t="str">
        <x:v>188_huang</x:v>
      </x:c>
      <x:c r="C133" s="16" t="n">
        <x:v>188</x:v>
      </x:c>
      <x:c r="D133" s="16" t="n">
        <x:v>240</x:v>
      </x:c>
      <x:c r="E133" s="16" t="n">
        <x:v>565</x:v>
      </x:c>
      <x:c r="F133" s="16" t="n">
        <x:v>100</x:v>
      </x:c>
      <x:c r="G133" s="16" t="n">
        <x:v>728</x:v>
      </x:c>
      <x:c r="H133" s="16" t="n">
        <x:v>629</x:v>
      </x:c>
      <x:c r="I133" s="16" t="n">
        <x:v>1</x:v>
      </x:c>
      <x:c r="J133" s="16" t="n">
        <x:f>H133-F133+1</x:f>
        <x:v>530</x:v>
      </x:c>
      <x:c r="K133" s="17" t="n">
        <x:f>IF(I133=1,C133/J133,"")</x:f>
        <x:v>0.35471698113207545</x:v>
      </x:c>
      <x:c r="L133" s="17" t="n">
        <x:f>C133/D133</x:f>
        <x:v>0.7833333333333333</x:v>
      </x:c>
      <x:c r="M133" s="18" t="n">
        <x:f>IF(I133=1,J133*('校正統計'!$B$7*D133+'校正統計'!$B$8),"")</x:f>
        <x:v>186.54103319692294</x:v>
      </x:c>
      <x:c r="N133" s="18" t="n">
        <x:f>IF(I133=1,M133-C133,"")</x:f>
        <x:v>-1.458966803077061</x:v>
      </x:c>
      <x:c r="O133" s="18" t="n">
        <x:f>IF(I133=1,J133*D133/'校正統計'!$B$9,"")</x:f>
        <x:v>187.92287619092141</x:v>
      </x:c>
      <x:c r="P133" s="18" t="n">
        <x:f>IF(I133=1,O133-C133,"")</x:f>
        <x:v>-0.07712380907858574</x:v>
      </x:c>
      <x:c r="Q133" s="18" t="n">
        <x:f>IF(I133=1,J133*(0.0013599938652549585*D133+0.014432794417975773)-C133,"")</x:f>
        <x:v>-7.359399298042121</x:v>
      </x:c>
      <x:c r="R133" s="18" t="n">
        <x:f>IF(I133=1,J133*D133/697.7877515437722-C133,"")</x:f>
        <x:v>-5.709611957812143</x:v>
      </x:c>
      <x:c r="S133" s="18" t="n">
        <x:f>IF(I133=1,J133*L133,0)</x:f>
        <x:v>415.1666666666667</x:v>
      </x:c>
      <x:c r="T133" s="18" t="n">
        <x:f>IF(I133=1,L133^2,0)</x:f>
        <x:v>0.6136111111111111</x:v>
      </x:c>
      <x:c r="U133" s="16" t="n">
        <x:f>IF(I133=1,J133,"")</x:f>
        <x:v>530</x:v>
      </x:c>
      <x:c r="V133" s="3" t="str">
        <x:v>完整頭腳；納入</x:v>
      </x:c>
    </x:row>
    <x:row r="134" ht="26" customHeight="1">
      <x:c r="A134" s="3" t="str">
        <x:v>188_huang/240 (4).jpg</x:v>
      </x:c>
      <x:c r="B134" s="3" t="str">
        <x:v>188_huang</x:v>
      </x:c>
      <x:c r="C134" s="16" t="n">
        <x:v>188</x:v>
      </x:c>
      <x:c r="D134" s="16" t="n">
        <x:v>240</x:v>
      </x:c>
      <x:c r="E134" s="16" t="n">
        <x:v>565</x:v>
      </x:c>
      <x:c r="F134" s="16" t="n">
        <x:v>98</x:v>
      </x:c>
      <x:c r="G134" s="16" t="n">
        <x:v>728</x:v>
      </x:c>
      <x:c r="H134" s="16" t="n">
        <x:v>627</x:v>
      </x:c>
      <x:c r="I134" s="16" t="n">
        <x:v>1</x:v>
      </x:c>
      <x:c r="J134" s="16" t="n">
        <x:f>H134-F134+1</x:f>
        <x:v>530</x:v>
      </x:c>
      <x:c r="K134" s="17" t="n">
        <x:f>IF(I134=1,C134/J134,"")</x:f>
        <x:v>0.35471698113207545</x:v>
      </x:c>
      <x:c r="L134" s="17" t="n">
        <x:f>C134/D134</x:f>
        <x:v>0.7833333333333333</x:v>
      </x:c>
      <x:c r="M134" s="18" t="n">
        <x:f>IF(I134=1,J134*('校正統計'!$B$7*D134+'校正統計'!$B$8),"")</x:f>
        <x:v>186.54103319692294</x:v>
      </x:c>
      <x:c r="N134" s="18" t="n">
        <x:f>IF(I134=1,M134-C134,"")</x:f>
        <x:v>-1.458966803077061</x:v>
      </x:c>
      <x:c r="O134" s="18" t="n">
        <x:f>IF(I134=1,J134*D134/'校正統計'!$B$9,"")</x:f>
        <x:v>187.92287619092141</x:v>
      </x:c>
      <x:c r="P134" s="18" t="n">
        <x:f>IF(I134=1,O134-C134,"")</x:f>
        <x:v>-0.07712380907858574</x:v>
      </x:c>
      <x:c r="Q134" s="18" t="n">
        <x:f>IF(I134=1,J134*(0.0013599938652549585*D134+0.014432794417975773)-C134,"")</x:f>
        <x:v>-7.359399298042121</x:v>
      </x:c>
      <x:c r="R134" s="18" t="n">
        <x:f>IF(I134=1,J134*D134/697.7877515437722-C134,"")</x:f>
        <x:v>-5.709611957812143</x:v>
      </x:c>
      <x:c r="S134" s="18" t="n">
        <x:f>IF(I134=1,J134*L134,0)</x:f>
        <x:v>415.1666666666667</x:v>
      </x:c>
      <x:c r="T134" s="18" t="n">
        <x:f>IF(I134=1,L134^2,0)</x:f>
        <x:v>0.6136111111111111</x:v>
      </x:c>
      <x:c r="U134" s="16" t="n">
        <x:f>IF(I134=1,J134,"")</x:f>
        <x:v>530</x:v>
      </x:c>
      <x:c r="V134" s="3" t="str">
        <x:v>完整頭腳；納入</x:v>
      </x:c>
    </x:row>
    <x:row r="135" ht="26" customHeight="1">
      <x:c r="A135" s="3" t="str">
        <x:v>188_huang/240 (5).jpg</x:v>
      </x:c>
      <x:c r="B135" s="3" t="str">
        <x:v>188_huang</x:v>
      </x:c>
      <x:c r="C135" s="16" t="n">
        <x:v>188</x:v>
      </x:c>
      <x:c r="D135" s="16" t="n">
        <x:v>240</x:v>
      </x:c>
      <x:c r="E135" s="16" t="n">
        <x:v>566</x:v>
      </x:c>
      <x:c r="F135" s="16" t="n">
        <x:v>98</x:v>
      </x:c>
      <x:c r="G135" s="16" t="n">
        <x:v>728</x:v>
      </x:c>
      <x:c r="H135" s="16" t="n">
        <x:v>629</x:v>
      </x:c>
      <x:c r="I135" s="16" t="n">
        <x:v>1</x:v>
      </x:c>
      <x:c r="J135" s="16" t="n">
        <x:f>H135-F135+1</x:f>
        <x:v>532</x:v>
      </x:c>
      <x:c r="K135" s="17" t="n">
        <x:f>IF(I135=1,C135/J135,"")</x:f>
        <x:v>0.3533834586466165</x:v>
      </x:c>
      <x:c r="L135" s="17" t="n">
        <x:f>C135/D135</x:f>
        <x:v>0.7833333333333333</x:v>
      </x:c>
      <x:c r="M135" s="18" t="n">
        <x:f>IF(I135=1,J135*('校正統計'!$B$7*D135+'校正統計'!$B$8),"")</x:f>
        <x:v>187.24496162408116</x:v>
      </x:c>
      <x:c r="N135" s="18" t="n">
        <x:f>IF(I135=1,M135-C135,"")</x:f>
        <x:v>-0.7550383759188435</x:v>
      </x:c>
      <x:c r="O135" s="18" t="n">
        <x:f>IF(I135=1,J135*D135/'校正統計'!$B$9,"")</x:f>
        <x:v>188.63201911994378</x:v>
      </x:c>
      <x:c r="P135" s="18" t="n">
        <x:f>IF(I135=1,O135-C135,"")</x:f>
        <x:v>0.6320191199437772</x:v>
      </x:c>
      <x:c r="Q135" s="18" t="n">
        <x:f>IF(I135=1,J135*(0.0013599938652549585*D135+0.014432794417975773)-C135,"")</x:f>
        <x:v>-6.677736653883784</x:v>
      </x:c>
      <x:c r="R135" s="18" t="n">
        <x:f>IF(I135=1,J135*D135/697.7877515437722-C135,"")</x:f>
        <x:v>-5.021723701049154</x:v>
      </x:c>
      <x:c r="S135" s="18" t="n">
        <x:f>IF(I135=1,J135*L135,0)</x:f>
        <x:v>416.73333333333335</x:v>
      </x:c>
      <x:c r="T135" s="18" t="n">
        <x:f>IF(I135=1,L135^2,0)</x:f>
        <x:v>0.6136111111111111</x:v>
      </x:c>
      <x:c r="U135" s="16" t="n">
        <x:f>IF(I135=1,J135,"")</x:f>
        <x:v>532</x:v>
      </x:c>
      <x:c r="V135" s="3" t="str">
        <x:v>完整頭腳；納入</x:v>
      </x:c>
    </x:row>
    <x:row r="136" ht="26" customHeight="1">
      <x:c r="A136" s="3" t="str">
        <x:v>188_huang/240 (6).jpg</x:v>
      </x:c>
      <x:c r="B136" s="3" t="str">
        <x:v>188_huang</x:v>
      </x:c>
      <x:c r="C136" s="16" t="n">
        <x:v>188</x:v>
      </x:c>
      <x:c r="D136" s="16" t="n">
        <x:v>240</x:v>
      </x:c>
      <x:c r="E136" s="16" t="n">
        <x:v>566</x:v>
      </x:c>
      <x:c r="F136" s="16" t="n">
        <x:v>98</x:v>
      </x:c>
      <x:c r="G136" s="16" t="n">
        <x:v>728</x:v>
      </x:c>
      <x:c r="H136" s="16" t="n">
        <x:v>626</x:v>
      </x:c>
      <x:c r="I136" s="16" t="n">
        <x:v>1</x:v>
      </x:c>
      <x:c r="J136" s="16" t="n">
        <x:f>H136-F136+1</x:f>
        <x:v>529</x:v>
      </x:c>
      <x:c r="K136" s="17" t="n">
        <x:f>IF(I136=1,C136/J136,"")</x:f>
        <x:v>0.3553875236294896</x:v>
      </x:c>
      <x:c r="L136" s="17" t="n">
        <x:f>C136/D136</x:f>
        <x:v>0.7833333333333333</x:v>
      </x:c>
      <x:c r="M136" s="18" t="n">
        <x:f>IF(I136=1,J136*('校正統計'!$B$7*D136+'校正統計'!$B$8),"")</x:f>
        <x:v>186.18906898334384</x:v>
      </x:c>
      <x:c r="N136" s="18" t="n">
        <x:f>IF(I136=1,M136-C136,"")</x:f>
        <x:v>-1.8109310166561556</x:v>
      </x:c>
      <x:c r="O136" s="18" t="n">
        <x:f>IF(I136=1,J136*D136/'校正統計'!$B$9,"")</x:f>
        <x:v>187.56830472641025</x:v>
      </x:c>
      <x:c r="P136" s="18" t="n">
        <x:f>IF(I136=1,O136-C136,"")</x:f>
        <x:v>-0.431695273589753</x:v>
      </x:c>
      <x:c r="Q136" s="18" t="n">
        <x:f>IF(I136=1,J136*(0.0013599938652549585*D136+0.014432794417975773)-C136,"")</x:f>
        <x:v>-7.7002306201212605</x:v>
      </x:c>
      <x:c r="R136" s="18" t="n">
        <x:f>IF(I136=1,J136*D136/697.7877515437722-C136,"")</x:f>
        <x:v>-6.053556086193623</x:v>
      </x:c>
      <x:c r="S136" s="18" t="n">
        <x:f>IF(I136=1,J136*L136,0)</x:f>
        <x:v>414.3833333333333</x:v>
      </x:c>
      <x:c r="T136" s="18" t="n">
        <x:f>IF(I136=1,L136^2,0)</x:f>
        <x:v>0.6136111111111111</x:v>
      </x:c>
      <x:c r="U136" s="16" t="n">
        <x:f>IF(I136=1,J136,"")</x:f>
        <x:v>529</x:v>
      </x:c>
      <x:c r="V136" s="3" t="str">
        <x:v>完整頭腳；納入</x:v>
      </x:c>
    </x:row>
    <x:row r="137" ht="26" customHeight="1">
      <x:c r="A137" s="3" t="str">
        <x:v>188_huang/240 (7).jpg</x:v>
      </x:c>
      <x:c r="B137" s="3" t="str">
        <x:v>188_huang</x:v>
      </x:c>
      <x:c r="C137" s="16" t="n">
        <x:v>188</x:v>
      </x:c>
      <x:c r="D137" s="16" t="n">
        <x:v>240</x:v>
      </x:c>
      <x:c r="E137" s="16" t="n">
        <x:v>565</x:v>
      </x:c>
      <x:c r="F137" s="16" t="n">
        <x:v>98</x:v>
      </x:c>
      <x:c r="G137" s="16" t="n">
        <x:v>727</x:v>
      </x:c>
      <x:c r="H137" s="16" t="n">
        <x:v>627</x:v>
      </x:c>
      <x:c r="I137" s="16" t="n">
        <x:v>1</x:v>
      </x:c>
      <x:c r="J137" s="16" t="n">
        <x:f>H137-F137+1</x:f>
        <x:v>530</x:v>
      </x:c>
      <x:c r="K137" s="17" t="n">
        <x:f>IF(I137=1,C137/J137,"")</x:f>
        <x:v>0.35471698113207545</x:v>
      </x:c>
      <x:c r="L137" s="17" t="n">
        <x:f>C137/D137</x:f>
        <x:v>0.7833333333333333</x:v>
      </x:c>
      <x:c r="M137" s="18" t="n">
        <x:f>IF(I137=1,J137*('校正統計'!$B$7*D137+'校正統計'!$B$8),"")</x:f>
        <x:v>186.54103319692294</x:v>
      </x:c>
      <x:c r="N137" s="18" t="n">
        <x:f>IF(I137=1,M137-C137,"")</x:f>
        <x:v>-1.458966803077061</x:v>
      </x:c>
      <x:c r="O137" s="18" t="n">
        <x:f>IF(I137=1,J137*D137/'校正統計'!$B$9,"")</x:f>
        <x:v>187.92287619092141</x:v>
      </x:c>
      <x:c r="P137" s="18" t="n">
        <x:f>IF(I137=1,O137-C137,"")</x:f>
        <x:v>-0.07712380907858574</x:v>
      </x:c>
      <x:c r="Q137" s="18" t="n">
        <x:f>IF(I137=1,J137*(0.0013599938652549585*D137+0.014432794417975773)-C137,"")</x:f>
        <x:v>-7.359399298042121</x:v>
      </x:c>
      <x:c r="R137" s="18" t="n">
        <x:f>IF(I137=1,J137*D137/697.7877515437722-C137,"")</x:f>
        <x:v>-5.709611957812143</x:v>
      </x:c>
      <x:c r="S137" s="18" t="n">
        <x:f>IF(I137=1,J137*L137,0)</x:f>
        <x:v>415.1666666666667</x:v>
      </x:c>
      <x:c r="T137" s="18" t="n">
        <x:f>IF(I137=1,L137^2,0)</x:f>
        <x:v>0.6136111111111111</x:v>
      </x:c>
      <x:c r="U137" s="16" t="n">
        <x:f>IF(I137=1,J137,"")</x:f>
        <x:v>530</x:v>
      </x:c>
      <x:c r="V137" s="3" t="str">
        <x:v>完整頭腳；納入</x:v>
      </x:c>
    </x:row>
    <x:row r="138" ht="26" customHeight="1">
      <x:c r="A138" s="3" t="str">
        <x:v>188_huang/260 (1).jpg</x:v>
      </x:c>
      <x:c r="B138" s="3" t="str">
        <x:v>188_huang</x:v>
      </x:c>
      <x:c r="C138" s="16" t="n">
        <x:v>188</x:v>
      </x:c>
      <x:c r="D138" s="16" t="n">
        <x:v>260</x:v>
      </x:c>
      <x:c r="E138" s="16" t="n">
        <x:v>572</x:v>
      </x:c>
      <x:c r="F138" s="16" t="n">
        <x:v>120</x:v>
      </x:c>
      <x:c r="G138" s="16" t="n">
        <x:v>728</x:v>
      </x:c>
      <x:c r="H138" s="16" t="n">
        <x:v>611</x:v>
      </x:c>
      <x:c r="I138" s="16" t="n">
        <x:v>1</x:v>
      </x:c>
      <x:c r="J138" s="16" t="n">
        <x:f>H138-F138+1</x:f>
        <x:v>492</x:v>
      </x:c>
      <x:c r="K138" s="17" t="n">
        <x:f>IF(I138=1,C138/J138,"")</x:f>
        <x:v>0.3821138211382114</x:v>
      </x:c>
      <x:c r="L138" s="17" t="n">
        <x:f>C138/D138</x:f>
        <x:v>0.7230769230769231</x:v>
      </x:c>
      <x:c r="M138" s="18" t="n">
        <x:f>IF(I138=1,J138*('校正統計'!$B$7*D138+'校正統計'!$B$8),"")</x:f>
        <x:v>186.6923277279164</x:v>
      </x:c>
      <x:c r="N138" s="18" t="n">
        <x:f>IF(I138=1,M138-C138,"")</x:f>
        <x:v>-1.3076722720836074</x:v>
      </x:c>
      <x:c r="O138" s="18" t="n">
        <x:f>IF(I138=1,J138*D138/'校正統計'!$B$9,"")</x:f>
        <x:v>188.98659058445494</x:v>
      </x:c>
      <x:c r="P138" s="18" t="n">
        <x:f>IF(I138=1,O138-C138,"")</x:f>
        <x:v>0.9865905844549445</x:v>
      </x:c>
      <x:c r="Q138" s="18" t="n">
        <x:f>IF(I138=1,J138*(0.0013599938652549585*D138+0.014432794417975773)-C138,"")</x:f>
        <x:v>-6.928649902941629</x:v>
      </x:c>
      <x:c r="R138" s="18" t="n">
        <x:f>IF(I138=1,J138*D138/697.7877515437722-C138,"")</x:f>
        <x:v>-4.677779572667674</x:v>
      </x:c>
      <x:c r="S138" s="18" t="n">
        <x:f>IF(I138=1,J138*L138,0)</x:f>
        <x:v>355.75384615384615</x:v>
      </x:c>
      <x:c r="T138" s="18" t="n">
        <x:f>IF(I138=1,L138^2,0)</x:f>
        <x:v>0.5228402366863905</x:v>
      </x:c>
      <x:c r="U138" s="16" t="n">
        <x:f>IF(I138=1,J138,"")</x:f>
        <x:v>492</x:v>
      </x:c>
      <x:c r="V138" s="3" t="str">
        <x:v>完整頭腳；納入</x:v>
      </x:c>
    </x:row>
    <x:row r="139" ht="26" customHeight="1">
      <x:c r="A139" s="3" t="str">
        <x:v>188_huang/260 (2).jpg</x:v>
      </x:c>
      <x:c r="B139" s="3" t="str">
        <x:v>188_huang</x:v>
      </x:c>
      <x:c r="C139" s="16" t="n">
        <x:v>188</x:v>
      </x:c>
      <x:c r="D139" s="16" t="n">
        <x:v>260</x:v>
      </x:c>
      <x:c r="E139" s="16" t="n">
        <x:v>575</x:v>
      </x:c>
      <x:c r="F139" s="16" t="n">
        <x:v>118</x:v>
      </x:c>
      <x:c r="G139" s="16" t="n">
        <x:v>728</x:v>
      </x:c>
      <x:c r="H139" s="16" t="n">
        <x:v>610</x:v>
      </x:c>
      <x:c r="I139" s="16" t="n">
        <x:v>1</x:v>
      </x:c>
      <x:c r="J139" s="16" t="n">
        <x:f>H139-F139+1</x:f>
        <x:v>493</x:v>
      </x:c>
      <x:c r="K139" s="17" t="n">
        <x:f>IF(I139=1,C139/J139,"")</x:f>
        <x:v>0.3813387423935091</x:v>
      </x:c>
      <x:c r="L139" s="17" t="n">
        <x:f>C139/D139</x:f>
        <x:v>0.7230769230769231</x:v>
      </x:c>
      <x:c r="M139" s="18" t="n">
        <x:f>IF(I139=1,J139*('校正統計'!$B$7*D139+'校正統計'!$B$8),"")</x:f>
        <x:v>187.0717836785829</x:v>
      </x:c>
      <x:c r="N139" s="18" t="n">
        <x:f>IF(I139=1,M139-C139,"")</x:f>
        <x:v>-0.9282163214170964</x:v>
      </x:c>
      <x:c r="O139" s="18" t="n">
        <x:f>IF(I139=1,J139*D139/'校正統計'!$B$9,"")</x:f>
        <x:v>189.3707096710087</x:v>
      </x:c>
      <x:c r="P139" s="18" t="n">
        <x:f>IF(I139=1,O139-C139,"")</x:f>
        <x:v>1.3707096710087114</x:v>
      </x:c>
      <x:c r="Q139" s="18" t="n">
        <x:f>IF(I139=1,J139*(0.0013599938652549585*D139+0.014432794417975773)-C139,"")</x:f>
        <x:v>-6.560618703557367</x:v>
      </x:c>
      <x:c r="R139" s="18" t="n">
        <x:f>IF(I139=1,J139*D139/697.7877515437722-C139,"")</x:f>
        <x:v>-4.305173433587726</x:v>
      </x:c>
      <x:c r="S139" s="18" t="n">
        <x:f>IF(I139=1,J139*L139,0)</x:f>
        <x:v>356.4769230769231</x:v>
      </x:c>
      <x:c r="T139" s="18" t="n">
        <x:f>IF(I139=1,L139^2,0)</x:f>
        <x:v>0.5228402366863905</x:v>
      </x:c>
      <x:c r="U139" s="16" t="n">
        <x:f>IF(I139=1,J139,"")</x:f>
        <x:v>493</x:v>
      </x:c>
      <x:c r="V139" s="3" t="str">
        <x:v>完整頭腳；納入</x:v>
      </x:c>
    </x:row>
    <x:row r="140" ht="26" customHeight="1">
      <x:c r="A140" s="3" t="str">
        <x:v>188_huang/260 (3).jpg</x:v>
      </x:c>
      <x:c r="B140" s="3" t="str">
        <x:v>188_huang</x:v>
      </x:c>
      <x:c r="C140" s="16" t="n">
        <x:v>188</x:v>
      </x:c>
      <x:c r="D140" s="16" t="n">
        <x:v>260</x:v>
      </x:c>
      <x:c r="E140" s="16" t="n">
        <x:v>574</x:v>
      </x:c>
      <x:c r="F140" s="16" t="n">
        <x:v>118</x:v>
      </x:c>
      <x:c r="G140" s="16" t="n">
        <x:v>728</x:v>
      </x:c>
      <x:c r="H140" s="16" t="n">
        <x:v>611</x:v>
      </x:c>
      <x:c r="I140" s="16" t="n">
        <x:v>1</x:v>
      </x:c>
      <x:c r="J140" s="16" t="n">
        <x:f>H140-F140+1</x:f>
        <x:v>494</x:v>
      </x:c>
      <x:c r="K140" s="17" t="n">
        <x:f>IF(I140=1,C140/J140,"")</x:f>
        <x:v>0.3805668016194332</x:v>
      </x:c>
      <x:c r="L140" s="17" t="n">
        <x:f>C140/D140</x:f>
        <x:v>0.7230769230769231</x:v>
      </x:c>
      <x:c r="M140" s="18" t="n">
        <x:f>IF(I140=1,J140*('校正統計'!$B$7*D140+'校正統計'!$B$8),"")</x:f>
        <x:v>187.4512396292494</x:v>
      </x:c>
      <x:c r="N140" s="18" t="n">
        <x:f>IF(I140=1,M140-C140,"")</x:f>
        <x:v>-0.5487603707506139</x:v>
      </x:c>
      <x:c r="O140" s="18" t="n">
        <x:f>IF(I140=1,J140*D140/'校正統計'!$B$9,"")</x:f>
        <x:v>189.75482875756248</x:v>
      </x:c>
      <x:c r="P140" s="18" t="n">
        <x:f>IF(I140=1,O140-C140,"")</x:f>
        <x:v>1.7548287575624784</x:v>
      </x:c>
      <x:c r="Q140" s="18" t="n">
        <x:f>IF(I140=1,J140*(0.0013599938652549585*D140+0.014432794417975773)-C140,"")</x:f>
        <x:v>-6.192587504173105</x:v>
      </x:c>
      <x:c r="R140" s="18" t="n">
        <x:f>IF(I140=1,J140*D140/697.7877515437722-C140,"")</x:f>
        <x:v>-3.9325672945078054</x:v>
      </x:c>
      <x:c r="S140" s="18" t="n">
        <x:f>IF(I140=1,J140*L140,0)</x:f>
        <x:v>357.2</x:v>
      </x:c>
      <x:c r="T140" s="18" t="n">
        <x:f>IF(I140=1,L140^2,0)</x:f>
        <x:v>0.5228402366863905</x:v>
      </x:c>
      <x:c r="U140" s="16" t="n">
        <x:f>IF(I140=1,J140,"")</x:f>
        <x:v>494</x:v>
      </x:c>
      <x:c r="V140" s="3" t="str">
        <x:v>完整頭腳；納入</x:v>
      </x:c>
    </x:row>
    <x:row r="141" ht="26" customHeight="1">
      <x:c r="A141" s="3" t="str">
        <x:v>188_huang/260 (4).jpg</x:v>
      </x:c>
      <x:c r="B141" s="3" t="str">
        <x:v>188_huang</x:v>
      </x:c>
      <x:c r="C141" s="16" t="n">
        <x:v>188</x:v>
      </x:c>
      <x:c r="D141" s="16" t="n">
        <x:v>260</x:v>
      </x:c>
      <x:c r="E141" s="16" t="n">
        <x:v>574</x:v>
      </x:c>
      <x:c r="F141" s="16" t="n">
        <x:v>115</x:v>
      </x:c>
      <x:c r="G141" s="16" t="n">
        <x:v>728</x:v>
      </x:c>
      <x:c r="H141" s="16" t="n">
        <x:v>608</x:v>
      </x:c>
      <x:c r="I141" s="16" t="n">
        <x:v>1</x:v>
      </x:c>
      <x:c r="J141" s="16" t="n">
        <x:f>H141-F141+1</x:f>
        <x:v>494</x:v>
      </x:c>
      <x:c r="K141" s="17" t="n">
        <x:f>IF(I141=1,C141/J141,"")</x:f>
        <x:v>0.3805668016194332</x:v>
      </x:c>
      <x:c r="L141" s="17" t="n">
        <x:f>C141/D141</x:f>
        <x:v>0.7230769230769231</x:v>
      </x:c>
      <x:c r="M141" s="18" t="n">
        <x:f>IF(I141=1,J141*('校正統計'!$B$7*D141+'校正統計'!$B$8),"")</x:f>
        <x:v>187.4512396292494</x:v>
      </x:c>
      <x:c r="N141" s="18" t="n">
        <x:f>IF(I141=1,M141-C141,"")</x:f>
        <x:v>-0.5487603707506139</x:v>
      </x:c>
      <x:c r="O141" s="18" t="n">
        <x:f>IF(I141=1,J141*D141/'校正統計'!$B$9,"")</x:f>
        <x:v>189.75482875756248</x:v>
      </x:c>
      <x:c r="P141" s="18" t="n">
        <x:f>IF(I141=1,O141-C141,"")</x:f>
        <x:v>1.7548287575624784</x:v>
      </x:c>
      <x:c r="Q141" s="18" t="n">
        <x:f>IF(I141=1,J141*(0.0013599938652549585*D141+0.014432794417975773)-C141,"")</x:f>
        <x:v>-6.192587504173105</x:v>
      </x:c>
      <x:c r="R141" s="18" t="n">
        <x:f>IF(I141=1,J141*D141/697.7877515437722-C141,"")</x:f>
        <x:v>-3.9325672945078054</x:v>
      </x:c>
      <x:c r="S141" s="18" t="n">
        <x:f>IF(I141=1,J141*L141,0)</x:f>
        <x:v>357.2</x:v>
      </x:c>
      <x:c r="T141" s="18" t="n">
        <x:f>IF(I141=1,L141^2,0)</x:f>
        <x:v>0.5228402366863905</x:v>
      </x:c>
      <x:c r="U141" s="16" t="n">
        <x:f>IF(I141=1,J141,"")</x:f>
        <x:v>494</x:v>
      </x:c>
      <x:c r="V141" s="3" t="str">
        <x:v>完整頭腳；納入</x:v>
      </x:c>
    </x:row>
    <x:row r="142" ht="26" customHeight="1">
      <x:c r="A142" s="3" t="str">
        <x:v>188_huang/260 (5).jpg</x:v>
      </x:c>
      <x:c r="B142" s="3" t="str">
        <x:v>188_huang</x:v>
      </x:c>
      <x:c r="C142" s="16" t="n">
        <x:v>188</x:v>
      </x:c>
      <x:c r="D142" s="16" t="n">
        <x:v>260</x:v>
      </x:c>
      <x:c r="E142" s="16" t="n">
        <x:v>574</x:v>
      </x:c>
      <x:c r="F142" s="16" t="n">
        <x:v>118</x:v>
      </x:c>
      <x:c r="G142" s="16" t="n">
        <x:v>728</x:v>
      </x:c>
      <x:c r="H142" s="16" t="n">
        <x:v>611</x:v>
      </x:c>
      <x:c r="I142" s="16" t="n">
        <x:v>1</x:v>
      </x:c>
      <x:c r="J142" s="16" t="n">
        <x:f>H142-F142+1</x:f>
        <x:v>494</x:v>
      </x:c>
      <x:c r="K142" s="17" t="n">
        <x:f>IF(I142=1,C142/J142,"")</x:f>
        <x:v>0.3805668016194332</x:v>
      </x:c>
      <x:c r="L142" s="17" t="n">
        <x:f>C142/D142</x:f>
        <x:v>0.7230769230769231</x:v>
      </x:c>
      <x:c r="M142" s="18" t="n">
        <x:f>IF(I142=1,J142*('校正統計'!$B$7*D142+'校正統計'!$B$8),"")</x:f>
        <x:v>187.4512396292494</x:v>
      </x:c>
      <x:c r="N142" s="18" t="n">
        <x:f>IF(I142=1,M142-C142,"")</x:f>
        <x:v>-0.5487603707506139</x:v>
      </x:c>
      <x:c r="O142" s="18" t="n">
        <x:f>IF(I142=1,J142*D142/'校正統計'!$B$9,"")</x:f>
        <x:v>189.75482875756248</x:v>
      </x:c>
      <x:c r="P142" s="18" t="n">
        <x:f>IF(I142=1,O142-C142,"")</x:f>
        <x:v>1.7548287575624784</x:v>
      </x:c>
      <x:c r="Q142" s="18" t="n">
        <x:f>IF(I142=1,J142*(0.0013599938652549585*D142+0.014432794417975773)-C142,"")</x:f>
        <x:v>-6.192587504173105</x:v>
      </x:c>
      <x:c r="R142" s="18" t="n">
        <x:f>IF(I142=1,J142*D142/697.7877515437722-C142,"")</x:f>
        <x:v>-3.9325672945078054</x:v>
      </x:c>
      <x:c r="S142" s="18" t="n">
        <x:f>IF(I142=1,J142*L142,0)</x:f>
        <x:v>357.2</x:v>
      </x:c>
      <x:c r="T142" s="18" t="n">
        <x:f>IF(I142=1,L142^2,0)</x:f>
        <x:v>0.5228402366863905</x:v>
      </x:c>
      <x:c r="U142" s="16" t="n">
        <x:f>IF(I142=1,J142,"")</x:f>
        <x:v>494</x:v>
      </x:c>
      <x:c r="V142" s="3" t="str">
        <x:v>完整頭腳；納入</x:v>
      </x:c>
    </x:row>
    <x:row r="143" ht="26" customHeight="1">
      <x:c r="A143" s="3" t="str">
        <x:v>188_huang/260 (6).jpg</x:v>
      </x:c>
      <x:c r="B143" s="3" t="str">
        <x:v>188_huang</x:v>
      </x:c>
      <x:c r="C143" s="16" t="n">
        <x:v>188</x:v>
      </x:c>
      <x:c r="D143" s="16" t="n">
        <x:v>260</x:v>
      </x:c>
      <x:c r="E143" s="16" t="n">
        <x:v>574</x:v>
      </x:c>
      <x:c r="F143" s="16" t="n">
        <x:v>117</x:v>
      </x:c>
      <x:c r="G143" s="16" t="n">
        <x:v>728</x:v>
      </x:c>
      <x:c r="H143" s="16" t="n">
        <x:v>610</x:v>
      </x:c>
      <x:c r="I143" s="16" t="n">
        <x:v>1</x:v>
      </x:c>
      <x:c r="J143" s="16" t="n">
        <x:f>H143-F143+1</x:f>
        <x:v>494</x:v>
      </x:c>
      <x:c r="K143" s="17" t="n">
        <x:f>IF(I143=1,C143/J143,"")</x:f>
        <x:v>0.3805668016194332</x:v>
      </x:c>
      <x:c r="L143" s="17" t="n">
        <x:f>C143/D143</x:f>
        <x:v>0.7230769230769231</x:v>
      </x:c>
      <x:c r="M143" s="18" t="n">
        <x:f>IF(I143=1,J143*('校正統計'!$B$7*D143+'校正統計'!$B$8),"")</x:f>
        <x:v>187.4512396292494</x:v>
      </x:c>
      <x:c r="N143" s="18" t="n">
        <x:f>IF(I143=1,M143-C143,"")</x:f>
        <x:v>-0.5487603707506139</x:v>
      </x:c>
      <x:c r="O143" s="18" t="n">
        <x:f>IF(I143=1,J143*D143/'校正統計'!$B$9,"")</x:f>
        <x:v>189.75482875756248</x:v>
      </x:c>
      <x:c r="P143" s="18" t="n">
        <x:f>IF(I143=1,O143-C143,"")</x:f>
        <x:v>1.7548287575624784</x:v>
      </x:c>
      <x:c r="Q143" s="18" t="n">
        <x:f>IF(I143=1,J143*(0.0013599938652549585*D143+0.014432794417975773)-C143,"")</x:f>
        <x:v>-6.192587504173105</x:v>
      </x:c>
      <x:c r="R143" s="18" t="n">
        <x:f>IF(I143=1,J143*D143/697.7877515437722-C143,"")</x:f>
        <x:v>-3.9325672945078054</x:v>
      </x:c>
      <x:c r="S143" s="18" t="n">
        <x:f>IF(I143=1,J143*L143,0)</x:f>
        <x:v>357.2</x:v>
      </x:c>
      <x:c r="T143" s="18" t="n">
        <x:f>IF(I143=1,L143^2,0)</x:f>
        <x:v>0.5228402366863905</x:v>
      </x:c>
      <x:c r="U143" s="16" t="n">
        <x:f>IF(I143=1,J143,"")</x:f>
        <x:v>494</x:v>
      </x:c>
      <x:c r="V143" s="3" t="str">
        <x:v>完整頭腳；納入</x:v>
      </x:c>
    </x:row>
    <x:row r="144" ht="26" customHeight="1">
      <x:c r="A144" s="3" t="str">
        <x:v>188_huang/260 (7).jpg</x:v>
      </x:c>
      <x:c r="B144" s="3" t="str">
        <x:v>188_huang</x:v>
      </x:c>
      <x:c r="C144" s="16" t="n">
        <x:v>188</x:v>
      </x:c>
      <x:c r="D144" s="16" t="n">
        <x:v>260</x:v>
      </x:c>
      <x:c r="E144" s="16" t="n">
        <x:v>573</x:v>
      </x:c>
      <x:c r="F144" s="16" t="n">
        <x:v>118</x:v>
      </x:c>
      <x:c r="G144" s="16" t="n">
        <x:v>728</x:v>
      </x:c>
      <x:c r="H144" s="16" t="n">
        <x:v>612</x:v>
      </x:c>
      <x:c r="I144" s="16" t="n">
        <x:v>1</x:v>
      </x:c>
      <x:c r="J144" s="16" t="n">
        <x:f>H144-F144+1</x:f>
        <x:v>495</x:v>
      </x:c>
      <x:c r="K144" s="17" t="n">
        <x:f>IF(I144=1,C144/J144,"")</x:f>
        <x:v>0.3797979797979798</x:v>
      </x:c>
      <x:c r="L144" s="17" t="n">
        <x:f>C144/D144</x:f>
        <x:v>0.7230769230769231</x:v>
      </x:c>
      <x:c r="M144" s="18" t="n">
        <x:f>IF(I144=1,J144*('校正統計'!$B$7*D144+'校正統計'!$B$8),"")</x:f>
        <x:v>187.83069557991587</x:v>
      </x:c>
      <x:c r="N144" s="18" t="n">
        <x:f>IF(I144=1,M144-C144,"")</x:f>
        <x:v>-0.16930442008413138</x:v>
      </x:c>
      <x:c r="O144" s="18" t="n">
        <x:f>IF(I144=1,J144*D144/'校正統計'!$B$9,"")</x:f>
        <x:v>190.13894784411625</x:v>
      </x:c>
      <x:c r="P144" s="18" t="n">
        <x:f>IF(I144=1,O144-C144,"")</x:f>
        <x:v>2.1389478441162453</x:v>
      </x:c>
      <x:c r="Q144" s="18" t="n">
        <x:f>IF(I144=1,J144*(0.0013599938652549585*D144+0.014432794417975773)-C144,"")</x:f>
        <x:v>-5.8245563047888425</x:v>
      </x:c>
      <x:c r="R144" s="18" t="n">
        <x:f>IF(I144=1,J144*D144/697.7877515437722-C144,"")</x:f>
        <x:v>-3.5599611554278567</x:v>
      </x:c>
      <x:c r="S144" s="18" t="n">
        <x:f>IF(I144=1,J144*L144,0)</x:f>
        <x:v>357.9230769230769</x:v>
      </x:c>
      <x:c r="T144" s="18" t="n">
        <x:f>IF(I144=1,L144^2,0)</x:f>
        <x:v>0.5228402366863905</x:v>
      </x:c>
      <x:c r="U144" s="16" t="n">
        <x:f>IF(I144=1,J144,"")</x:f>
        <x:v>495</x:v>
      </x:c>
      <x:c r="V144" s="3" t="str">
        <x:v>完整頭腳；納入</x:v>
      </x:c>
    </x:row>
    <x:row r="145" ht="26" customHeight="1">
      <x:c r="A145" s="3" t="str">
        <x:v>188_huang/300 (1).jpg</x:v>
      </x:c>
      <x:c r="B145" s="3" t="str">
        <x:v>188_huang</x:v>
      </x:c>
      <x:c r="C145" s="16" t="n">
        <x:v>188</x:v>
      </x:c>
      <x:c r="D145" s="16" t="n">
        <x:v>300</x:v>
      </x:c>
      <x:c r="E145" s="16" t="n">
        <x:v>578</x:v>
      </x:c>
      <x:c r="F145" s="16" t="n">
        <x:v>158</x:v>
      </x:c>
      <x:c r="G145" s="16" t="n">
        <x:v>719</x:v>
      </x:c>
      <x:c r="H145" s="16" t="n">
        <x:v>589</x:v>
      </x:c>
      <x:c r="I145" s="16" t="n">
        <x:v>1</x:v>
      </x:c>
      <x:c r="J145" s="16" t="n">
        <x:f>H145-F145+1</x:f>
        <x:v>432</x:v>
      </x:c>
      <x:c r="K145" s="17" t="n">
        <x:f>IF(I145=1,C145/J145,"")</x:f>
        <x:v>0.4351851851851852</x:v>
      </x:c>
      <x:c r="L145" s="17" t="n">
        <x:f>C145/D145</x:f>
        <x:v>0.6266666666666667</x:v>
      </x:c>
      <x:c r="M145" s="18" t="n">
        <x:f>IF(I145=1,J145*('校正統計'!$B$7*D145+'校正統計'!$B$8),"")</x:f>
        <x:v>187.6778315314375</x:v>
      </x:c>
      <x:c r="N145" s="18" t="n">
        <x:f>IF(I145=1,M145-C145,"")</x:f>
        <x:v>-0.32216846856249504</x:v>
      </x:c>
      <x:c r="O145" s="18" t="n">
        <x:f>IF(I145=1,J145*D145/'校正統計'!$B$9,"")</x:f>
        <x:v>191.46859083603314</x:v>
      </x:c>
      <x:c r="P145" s="18" t="n">
        <x:f>IF(I145=1,O145-C145,"")</x:f>
        <x:v>3.468590836033144</x:v>
      </x:c>
      <x:c r="Q145" s="18" t="n">
        <x:f>IF(I145=1,J145*(0.0013599938652549585*D145+0.014432794417975773)-C145,"")</x:f>
        <x:v>-5.509827874391846</x:v>
      </x:c>
      <x:c r="R145" s="18" t="n">
        <x:f>IF(I145=1,J145*D145/697.7877515437722-C145,"")</x:f>
        <x:v>-2.270170673997285</x:v>
      </x:c>
      <x:c r="S145" s="18" t="n">
        <x:f>IF(I145=1,J145*L145,0)</x:f>
        <x:v>270.72</x:v>
      </x:c>
      <x:c r="T145" s="18" t="n">
        <x:f>IF(I145=1,L145^2,0)</x:f>
        <x:v>0.3927111111111112</x:v>
      </x:c>
      <x:c r="U145" s="16" t="n">
        <x:f>IF(I145=1,J145,"")</x:f>
        <x:v>432</x:v>
      </x:c>
      <x:c r="V145" s="3" t="str">
        <x:v>完整頭腳；納入</x:v>
      </x:c>
    </x:row>
    <x:row r="146" ht="26" customHeight="1">
      <x:c r="A146" s="3" t="str">
        <x:v>188_huang/300 (2).jpg</x:v>
      </x:c>
      <x:c r="B146" s="3" t="str">
        <x:v>188_huang</x:v>
      </x:c>
      <x:c r="C146" s="16" t="n">
        <x:v>188</x:v>
      </x:c>
      <x:c r="D146" s="16" t="n">
        <x:v>300</x:v>
      </x:c>
      <x:c r="E146" s="16" t="n">
        <x:v>579</x:v>
      </x:c>
      <x:c r="F146" s="16" t="n">
        <x:v>156</x:v>
      </x:c>
      <x:c r="G146" s="16" t="n">
        <x:v>719</x:v>
      </x:c>
      <x:c r="H146" s="16" t="n">
        <x:v>588</x:v>
      </x:c>
      <x:c r="I146" s="16" t="n">
        <x:v>1</x:v>
      </x:c>
      <x:c r="J146" s="16" t="n">
        <x:f>H146-F146+1</x:f>
        <x:v>433</x:v>
      </x:c>
      <x:c r="K146" s="17" t="n">
        <x:f>IF(I146=1,C146/J146,"")</x:f>
        <x:v>0.4341801385681293</x:v>
      </x:c>
      <x:c r="L146" s="17" t="n">
        <x:f>C146/D146</x:f>
        <x:v>0.6266666666666667</x:v>
      </x:c>
      <x:c r="M146" s="18" t="n">
        <x:f>IF(I146=1,J146*('校正統計'!$B$7*D146+'校正統計'!$B$8),"")</x:f>
        <x:v>188.1122709562788</x:v>
      </x:c>
      <x:c r="N146" s="18" t="n">
        <x:f>IF(I146=1,M146-C146,"")</x:f>
        <x:v>0.1122709562787918</x:v>
      </x:c>
      <x:c r="O146" s="18" t="n">
        <x:f>IF(I146=1,J146*D146/'校正統計'!$B$9,"")</x:f>
        <x:v>191.9118051666721</x:v>
      </x:c>
      <x:c r="P146" s="18" t="n">
        <x:f>IF(I146=1,O146-C146,"")</x:f>
        <x:v>3.91180516667211</x:v>
      </x:c>
      <x:c r="Q146" s="18" t="n">
        <x:f>IF(I146=1,J146*(0.0013599938652549585*D146+0.014432794417975773)-C146,"")</x:f>
        <x:v>-5.087396920397367</x:v>
      </x:c>
      <x:c r="R146" s="18" t="n">
        <x:f>IF(I146=1,J146*D146/697.7877515437722-C146,"")</x:f>
        <x:v>-1.8402405135204276</x:v>
      </x:c>
      <x:c r="S146" s="18" t="n">
        <x:f>IF(I146=1,J146*L146,0)</x:f>
        <x:v>271.3466666666667</x:v>
      </x:c>
      <x:c r="T146" s="18" t="n">
        <x:f>IF(I146=1,L146^2,0)</x:f>
        <x:v>0.3927111111111112</x:v>
      </x:c>
      <x:c r="U146" s="16" t="n">
        <x:f>IF(I146=1,J146,"")</x:f>
        <x:v>433</x:v>
      </x:c>
      <x:c r="V146" s="3" t="str">
        <x:v>完整頭腳；納入</x:v>
      </x:c>
    </x:row>
    <x:row r="147" ht="26" customHeight="1">
      <x:c r="A147" s="3" t="str">
        <x:v>188_huang/300 (3).jpg</x:v>
      </x:c>
      <x:c r="B147" s="3" t="str">
        <x:v>188_huang</x:v>
      </x:c>
      <x:c r="C147" s="16" t="n">
        <x:v>188</x:v>
      </x:c>
      <x:c r="D147" s="16" t="n">
        <x:v>300</x:v>
      </x:c>
      <x:c r="E147" s="16" t="n">
        <x:v>578</x:v>
      </x:c>
      <x:c r="F147" s="16" t="n">
        <x:v>158</x:v>
      </x:c>
      <x:c r="G147" s="16" t="n">
        <x:v>718</x:v>
      </x:c>
      <x:c r="H147" s="16" t="n">
        <x:v>589</x:v>
      </x:c>
      <x:c r="I147" s="16" t="n">
        <x:v>1</x:v>
      </x:c>
      <x:c r="J147" s="16" t="n">
        <x:f>H147-F147+1</x:f>
        <x:v>432</x:v>
      </x:c>
      <x:c r="K147" s="17" t="n">
        <x:f>IF(I147=1,C147/J147,"")</x:f>
        <x:v>0.4351851851851852</x:v>
      </x:c>
      <x:c r="L147" s="17" t="n">
        <x:f>C147/D147</x:f>
        <x:v>0.6266666666666667</x:v>
      </x:c>
      <x:c r="M147" s="18" t="n">
        <x:f>IF(I147=1,J147*('校正統計'!$B$7*D147+'校正統計'!$B$8),"")</x:f>
        <x:v>187.6778315314375</x:v>
      </x:c>
      <x:c r="N147" s="18" t="n">
        <x:f>IF(I147=1,M147-C147,"")</x:f>
        <x:v>-0.32216846856249504</x:v>
      </x:c>
      <x:c r="O147" s="18" t="n">
        <x:f>IF(I147=1,J147*D147/'校正統計'!$B$9,"")</x:f>
        <x:v>191.46859083603314</x:v>
      </x:c>
      <x:c r="P147" s="18" t="n">
        <x:f>IF(I147=1,O147-C147,"")</x:f>
        <x:v>3.468590836033144</x:v>
      </x:c>
      <x:c r="Q147" s="18" t="n">
        <x:f>IF(I147=1,J147*(0.0013599938652549585*D147+0.014432794417975773)-C147,"")</x:f>
        <x:v>-5.509827874391846</x:v>
      </x:c>
      <x:c r="R147" s="18" t="n">
        <x:f>IF(I147=1,J147*D147/697.7877515437722-C147,"")</x:f>
        <x:v>-2.270170673997285</x:v>
      </x:c>
      <x:c r="S147" s="18" t="n">
        <x:f>IF(I147=1,J147*L147,0)</x:f>
        <x:v>270.72</x:v>
      </x:c>
      <x:c r="T147" s="18" t="n">
        <x:f>IF(I147=1,L147^2,0)</x:f>
        <x:v>0.3927111111111112</x:v>
      </x:c>
      <x:c r="U147" s="16" t="n">
        <x:f>IF(I147=1,J147,"")</x:f>
        <x:v>432</x:v>
      </x:c>
      <x:c r="V147" s="3" t="str">
        <x:v>完整頭腳；納入</x:v>
      </x:c>
    </x:row>
    <x:row r="148" ht="26" customHeight="1">
      <x:c r="A148" s="3" t="str">
        <x:v>188_huang/300 (4).jpg</x:v>
      </x:c>
      <x:c r="B148" s="3" t="str">
        <x:v>188_huang</x:v>
      </x:c>
      <x:c r="C148" s="16" t="n">
        <x:v>188</x:v>
      </x:c>
      <x:c r="D148" s="16" t="n">
        <x:v>300</x:v>
      </x:c>
      <x:c r="E148" s="16" t="n">
        <x:v>578</x:v>
      </x:c>
      <x:c r="F148" s="16" t="n">
        <x:v>159</x:v>
      </x:c>
      <x:c r="G148" s="16" t="n">
        <x:v>718</x:v>
      </x:c>
      <x:c r="H148" s="16" t="n">
        <x:v>589</x:v>
      </x:c>
      <x:c r="I148" s="16" t="n">
        <x:v>1</x:v>
      </x:c>
      <x:c r="J148" s="16" t="n">
        <x:f>H148-F148+1</x:f>
        <x:v>431</x:v>
      </x:c>
      <x:c r="K148" s="17" t="n">
        <x:f>IF(I148=1,C148/J148,"")</x:f>
        <x:v>0.4361948955916473</x:v>
      </x:c>
      <x:c r="L148" s="17" t="n">
        <x:f>C148/D148</x:f>
        <x:v>0.6266666666666667</x:v>
      </x:c>
      <x:c r="M148" s="18" t="n">
        <x:f>IF(I148=1,J148*('校正統計'!$B$7*D148+'校正統計'!$B$8),"")</x:f>
        <x:v>187.24339210659622</x:v>
      </x:c>
      <x:c r="N148" s="18" t="n">
        <x:f>IF(I148=1,M148-C148,"")</x:f>
        <x:v>-0.7566078934037819</x:v>
      </x:c>
      <x:c r="O148" s="18" t="n">
        <x:f>IF(I148=1,J148*D148/'校正統計'!$B$9,"")</x:f>
        <x:v>191.02537650539418</x:v>
      </x:c>
      <x:c r="P148" s="18" t="n">
        <x:f>IF(I148=1,O148-C148,"")</x:f>
        <x:v>3.0253765053941777</x:v>
      </x:c>
      <x:c r="Q148" s="18" t="n">
        <x:f>IF(I148=1,J148*(0.0013599938652549585*D148+0.014432794417975773)-C148,"")</x:f>
        <x:v>-5.932258828386296</x:v>
      </x:c>
      <x:c r="R148" s="18" t="n">
        <x:f>IF(I148=1,J148*D148/697.7877515437722-C148,"")</x:f>
        <x:v>-2.700100834474142</x:v>
      </x:c>
      <x:c r="S148" s="18" t="n">
        <x:f>IF(I148=1,J148*L148,0)</x:f>
        <x:v>270.09333333333336</x:v>
      </x:c>
      <x:c r="T148" s="18" t="n">
        <x:f>IF(I148=1,L148^2,0)</x:f>
        <x:v>0.3927111111111112</x:v>
      </x:c>
      <x:c r="U148" s="16" t="n">
        <x:f>IF(I148=1,J148,"")</x:f>
        <x:v>431</x:v>
      </x:c>
      <x:c r="V148" s="3" t="str">
        <x:v>完整頭腳；納入</x:v>
      </x:c>
    </x:row>
    <x:row r="149" ht="26" customHeight="1">
      <x:c r="A149" s="3" t="str">
        <x:v>188_huang/300 (5).jpg</x:v>
      </x:c>
      <x:c r="B149" s="3" t="str">
        <x:v>188_huang</x:v>
      </x:c>
      <x:c r="C149" s="16" t="n">
        <x:v>188</x:v>
      </x:c>
      <x:c r="D149" s="16" t="n">
        <x:v>300</x:v>
      </x:c>
      <x:c r="E149" s="16" t="n">
        <x:v>577</x:v>
      </x:c>
      <x:c r="F149" s="16" t="n">
        <x:v>158</x:v>
      </x:c>
      <x:c r="G149" s="16" t="n">
        <x:v>718</x:v>
      </x:c>
      <x:c r="H149" s="16" t="n">
        <x:v>589</x:v>
      </x:c>
      <x:c r="I149" s="16" t="n">
        <x:v>1</x:v>
      </x:c>
      <x:c r="J149" s="16" t="n">
        <x:f>H149-F149+1</x:f>
        <x:v>432</x:v>
      </x:c>
      <x:c r="K149" s="17" t="n">
        <x:f>IF(I149=1,C149/J149,"")</x:f>
        <x:v>0.4351851851851852</x:v>
      </x:c>
      <x:c r="L149" s="17" t="n">
        <x:f>C149/D149</x:f>
        <x:v>0.6266666666666667</x:v>
      </x:c>
      <x:c r="M149" s="18" t="n">
        <x:f>IF(I149=1,J149*('校正統計'!$B$7*D149+'校正統計'!$B$8),"")</x:f>
        <x:v>187.6778315314375</x:v>
      </x:c>
      <x:c r="N149" s="18" t="n">
        <x:f>IF(I149=1,M149-C149,"")</x:f>
        <x:v>-0.32216846856249504</x:v>
      </x:c>
      <x:c r="O149" s="18" t="n">
        <x:f>IF(I149=1,J149*D149/'校正統計'!$B$9,"")</x:f>
        <x:v>191.46859083603314</x:v>
      </x:c>
      <x:c r="P149" s="18" t="n">
        <x:f>IF(I149=1,O149-C149,"")</x:f>
        <x:v>3.468590836033144</x:v>
      </x:c>
      <x:c r="Q149" s="18" t="n">
        <x:f>IF(I149=1,J149*(0.0013599938652549585*D149+0.014432794417975773)-C149,"")</x:f>
        <x:v>-5.509827874391846</x:v>
      </x:c>
      <x:c r="R149" s="18" t="n">
        <x:f>IF(I149=1,J149*D149/697.7877515437722-C149,"")</x:f>
        <x:v>-2.270170673997285</x:v>
      </x:c>
      <x:c r="S149" s="18" t="n">
        <x:f>IF(I149=1,J149*L149,0)</x:f>
        <x:v>270.72</x:v>
      </x:c>
      <x:c r="T149" s="18" t="n">
        <x:f>IF(I149=1,L149^2,0)</x:f>
        <x:v>0.3927111111111112</x:v>
      </x:c>
      <x:c r="U149" s="16" t="n">
        <x:f>IF(I149=1,J149,"")</x:f>
        <x:v>432</x:v>
      </x:c>
      <x:c r="V149" s="3" t="str">
        <x:v>完整頭腳；納入</x:v>
      </x:c>
    </x:row>
    <x:row r="150" ht="26" customHeight="1">
      <x:c r="A150" s="3" t="str">
        <x:v>188_huang/300 (6).jpg</x:v>
      </x:c>
      <x:c r="B150" s="3" t="str">
        <x:v>188_huang</x:v>
      </x:c>
      <x:c r="C150" s="16" t="n">
        <x:v>188</x:v>
      </x:c>
      <x:c r="D150" s="16" t="n">
        <x:v>300</x:v>
      </x:c>
      <x:c r="E150" s="16" t="n">
        <x:v>577</x:v>
      </x:c>
      <x:c r="F150" s="16" t="n">
        <x:v>156</x:v>
      </x:c>
      <x:c r="G150" s="16" t="n">
        <x:v>718</x:v>
      </x:c>
      <x:c r="H150" s="16" t="n">
        <x:v>587</x:v>
      </x:c>
      <x:c r="I150" s="16" t="n">
        <x:v>1</x:v>
      </x:c>
      <x:c r="J150" s="16" t="n">
        <x:f>H150-F150+1</x:f>
        <x:v>432</x:v>
      </x:c>
      <x:c r="K150" s="17" t="n">
        <x:f>IF(I150=1,C150/J150,"")</x:f>
        <x:v>0.4351851851851852</x:v>
      </x:c>
      <x:c r="L150" s="17" t="n">
        <x:f>C150/D150</x:f>
        <x:v>0.6266666666666667</x:v>
      </x:c>
      <x:c r="M150" s="18" t="n">
        <x:f>IF(I150=1,J150*('校正統計'!$B$7*D150+'校正統計'!$B$8),"")</x:f>
        <x:v>187.6778315314375</x:v>
      </x:c>
      <x:c r="N150" s="18" t="n">
        <x:f>IF(I150=1,M150-C150,"")</x:f>
        <x:v>-0.32216846856249504</x:v>
      </x:c>
      <x:c r="O150" s="18" t="n">
        <x:f>IF(I150=1,J150*D150/'校正統計'!$B$9,"")</x:f>
        <x:v>191.46859083603314</x:v>
      </x:c>
      <x:c r="P150" s="18" t="n">
        <x:f>IF(I150=1,O150-C150,"")</x:f>
        <x:v>3.468590836033144</x:v>
      </x:c>
      <x:c r="Q150" s="18" t="n">
        <x:f>IF(I150=1,J150*(0.0013599938652549585*D150+0.014432794417975773)-C150,"")</x:f>
        <x:v>-5.509827874391846</x:v>
      </x:c>
      <x:c r="R150" s="18" t="n">
        <x:f>IF(I150=1,J150*D150/697.7877515437722-C150,"")</x:f>
        <x:v>-2.270170673997285</x:v>
      </x:c>
      <x:c r="S150" s="18" t="n">
        <x:f>IF(I150=1,J150*L150,0)</x:f>
        <x:v>270.72</x:v>
      </x:c>
      <x:c r="T150" s="18" t="n">
        <x:f>IF(I150=1,L150^2,0)</x:f>
        <x:v>0.3927111111111112</x:v>
      </x:c>
      <x:c r="U150" s="16" t="n">
        <x:f>IF(I150=1,J150,"")</x:f>
        <x:v>432</x:v>
      </x:c>
      <x:c r="V150" s="3" t="str">
        <x:v>完整頭腳；納入</x:v>
      </x:c>
    </x:row>
  </x:sheetData>
  <x:conditionalFormatting sqref="A5:V150">
    <x:cfRule type="expression" dxfId="1" priority="1">
      <x:formula>$I5=0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90b6256e18442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.75" hidden="0" customWidth="1"/>
    <x:col min="3" max="3" width="18.75" hidden="0" customWidth="1"/>
    <x:col min="4" max="4" width="17.5" hidden="0" customWidth="1"/>
    <x:col min="5" max="5" width="18.75" hidden="0" customWidth="1"/>
    <x:col min="6" max="6" width="12.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4" t="str">
        <x:v>距離與 cm/px 連續預測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6" customHeight="1">
      <x:c r="A3" s="3" t="str">
        <x:v>每 1 cm 的模型預測；「有實測距離」只表示該距離有原始照片。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40" customHeight="1">
      <x:c r="A5" s="8" t="str">
        <x:v>距離 D (cm)</x:v>
      </x:c>
      <x:c r="B5" s="8" t="str">
        <x:v>合併直線 cm/px</x:v>
      </x:c>
      <x:c r="C5" s="8" t="str">
        <x:v>合併反比 cm/px</x:v>
      </x:c>
      <x:c r="D5" s="8" t="str">
        <x:v>有實測距離</x:v>
      </x:c>
      <x:c r="E5" s="8" t="str">
        <x:v>新資料影像張數</x:v>
      </x:c>
      <x:c r="F5" s="3"/>
      <x:c r="G5" s="3"/>
      <x:c r="H5" s="3"/>
      <x:c r="I5" s="3"/>
      <x:c r="J5" s="3"/>
      <x:c r="K5" s="3"/>
      <x:c r="L5" s="3"/>
    </x:row>
    <x:row r="6" ht="26" customHeight="1">
      <x:c r="A6" s="3" t="n">
        <x:v>180</x:v>
      </x:c>
      <x:c r="B6" s="14" t="n">
        <x:f>'校正統計'!$B$7*A6+'校正統計'!$B$8</x:f>
        <x:v>0.26948900231690925</x:v>
      </x:c>
      <x:c r="C6" s="14" t="n">
        <x:f>A6/'校正統計'!$B$9</x:f>
        <x:v>0.2659285983833794</x:v>
      </x:c>
      <x:c r="D6" s="3" t="str">
        <x:f>IF(COUNTIFS('逐張量測'!D5:D150,A6)&gt;0,"是","否")</x:f>
        <x:v>是</x:v>
      </x:c>
      <x:c r="E6" s="3" t="n">
        <x:f>COUNTIFS('逐張量測'!D5:D150,A6,'逐張量測'!B5:B150,"&lt;&gt;173_wang")</x:f>
        <x:v>20</x:v>
      </x:c>
      <x:c r="F6" s="3"/>
      <x:c r="G6" s="3"/>
      <x:c r="H6" s="3"/>
      <x:c r="I6" s="3"/>
      <x:c r="J6" s="3"/>
      <x:c r="K6" s="3"/>
      <x:c r="L6" s="3"/>
    </x:row>
    <x:row r="7" ht="26" customHeight="1">
      <x:c r="A7" s="3" t="n">
        <x:v>181</x:v>
      </x:c>
      <x:c r="B7" s="14" t="n">
        <x:f>'校正統計'!$B$7*A7+'校正統計'!$B$8</x:f>
        <x:v>0.27086358917127906</x:v>
      </x:c>
      <x:c r="C7" s="14" t="n">
        <x:f>A7/'校正統計'!$B$9</x:f>
        <x:v>0.26740597948550926</x:v>
      </x:c>
      <x:c r="D7" s="3" t="str">
        <x:f>IF(COUNTIFS('逐張量測'!D6:D151,A7)&gt;0,"是","否")</x:f>
        <x:v>否</x:v>
      </x:c>
      <x:c r="E7" s="3" t="n">
        <x:f>COUNTIFS('逐張量測'!D6:D151,A7,'逐張量測'!B6:B151,"&lt;&gt;173_wang")</x:f>
        <x:v>0</x:v>
      </x:c>
      <x:c r="F7" s="3"/>
      <x:c r="G7" s="3"/>
      <x:c r="H7" s="3"/>
      <x:c r="I7" s="3"/>
      <x:c r="J7" s="3"/>
      <x:c r="K7" s="3"/>
      <x:c r="L7" s="3"/>
    </x:row>
    <x:row r="8" ht="26" customHeight="1">
      <x:c r="A8" s="3" t="n">
        <x:v>182</x:v>
      </x:c>
      <x:c r="B8" s="14" t="n">
        <x:f>'校正統計'!$B$7*A8+'校正統計'!$B$8</x:f>
        <x:v>0.2722381760256489</x:v>
      </x:c>
      <x:c r="C8" s="14" t="n">
        <x:f>A8/'校正統計'!$B$9</x:f>
        <x:v>0.2688833605876391</x:v>
      </x:c>
      <x:c r="D8" s="3" t="str">
        <x:f>IF(COUNTIFS('逐張量測'!D7:D152,A8)&gt;0,"是","否")</x:f>
        <x:v>否</x:v>
      </x:c>
      <x:c r="E8" s="3" t="n">
        <x:f>COUNTIFS('逐張量測'!D7:D152,A8,'逐張量測'!B7:B152,"&lt;&gt;173_wang")</x:f>
        <x:v>0</x:v>
      </x:c>
      <x:c r="F8" s="3"/>
      <x:c r="G8" s="3"/>
      <x:c r="H8" s="3"/>
      <x:c r="I8" s="3"/>
      <x:c r="J8" s="3"/>
      <x:c r="K8" s="3"/>
      <x:c r="L8" s="3"/>
    </x:row>
    <x:row r="9" ht="26" customHeight="1">
      <x:c r="A9" s="3" t="n">
        <x:v>183</x:v>
      </x:c>
      <x:c r="B9" s="14" t="n">
        <x:f>'校正統計'!$B$7*A9+'校正統計'!$B$8</x:f>
        <x:v>0.2736127628800188</x:v>
      </x:c>
      <x:c r="C9" s="14" t="n">
        <x:f>A9/'校正統計'!$B$9</x:f>
        <x:v>0.27036074168976904</x:v>
      </x:c>
      <x:c r="D9" s="3" t="str">
        <x:f>IF(COUNTIFS('逐張量測'!D8:D153,A9)&gt;0,"是","否")</x:f>
        <x:v>否</x:v>
      </x:c>
      <x:c r="E9" s="3" t="n">
        <x:f>COUNTIFS('逐張量測'!D8:D153,A9,'逐張量測'!B8:B153,"&lt;&gt;173_wang")</x:f>
        <x:v>0</x:v>
      </x:c>
      <x:c r="F9" s="3"/>
      <x:c r="G9" s="3"/>
      <x:c r="H9" s="3"/>
      <x:c r="I9" s="3"/>
      <x:c r="J9" s="3"/>
      <x:c r="K9" s="3"/>
      <x:c r="L9" s="3"/>
    </x:row>
    <x:row r="10" ht="26" customHeight="1">
      <x:c r="A10" s="3" t="n">
        <x:v>184</x:v>
      </x:c>
      <x:c r="B10" s="14" t="n">
        <x:f>'校正統計'!$B$7*A10+'校正統計'!$B$8</x:f>
        <x:v>0.27498734973438865</x:v>
      </x:c>
      <x:c r="C10" s="14" t="n">
        <x:f>A10/'校正統計'!$B$9</x:f>
        <x:v>0.2718381227918989</x:v>
      </x:c>
      <x:c r="D10" s="3" t="str">
        <x:f>IF(COUNTIFS('逐張量測'!D9:D154,A10)&gt;0,"是","否")</x:f>
        <x:v>否</x:v>
      </x:c>
      <x:c r="E10" s="3" t="n">
        <x:f>COUNTIFS('逐張量測'!D9:D154,A10,'逐張量測'!B9:B154,"&lt;&gt;173_wang")</x:f>
        <x:v>0</x:v>
      </x:c>
      <x:c r="F10" s="3"/>
      <x:c r="G10" s="3"/>
      <x:c r="H10" s="3"/>
      <x:c r="I10" s="3"/>
      <x:c r="J10" s="3"/>
      <x:c r="K10" s="3"/>
      <x:c r="L10" s="3"/>
    </x:row>
    <x:row r="11" ht="26" customHeight="1">
      <x:c r="A11" s="3" t="n">
        <x:v>185</x:v>
      </x:c>
      <x:c r="B11" s="14" t="n">
        <x:f>'校正統計'!$B$7*A11+'校正統計'!$B$8</x:f>
        <x:v>0.2763619365887585</x:v>
      </x:c>
      <x:c r="C11" s="14" t="n">
        <x:f>A11/'校正統計'!$B$9</x:f>
        <x:v>0.2733155038940288</x:v>
      </x:c>
      <x:c r="D11" s="3" t="str">
        <x:f>IF(COUNTIFS('逐張量測'!D10:D155,A11)&gt;0,"是","否")</x:f>
        <x:v>否</x:v>
      </x:c>
      <x:c r="E11" s="3" t="n">
        <x:f>COUNTIFS('逐張量測'!D10:D155,A11,'逐張量測'!B10:B155,"&lt;&gt;173_wang")</x:f>
        <x:v>0</x:v>
      </x:c>
      <x:c r="F11" s="3"/>
      <x:c r="G11" s="3"/>
      <x:c r="H11" s="3"/>
      <x:c r="I11" s="3"/>
      <x:c r="J11" s="3"/>
      <x:c r="K11" s="3"/>
      <x:c r="L11" s="3"/>
    </x:row>
    <x:row r="12" ht="26" customHeight="1">
      <x:c r="A12" s="3" t="n">
        <x:v>186</x:v>
      </x:c>
      <x:c r="B12" s="14" t="n">
        <x:f>'校正統計'!$B$7*A12+'校正統計'!$B$8</x:f>
        <x:v>0.27773652344312827</x:v>
      </x:c>
      <x:c r="C12" s="14" t="n">
        <x:f>A12/'校正統計'!$B$9</x:f>
        <x:v>0.27479288499615867</x:v>
      </x:c>
      <x:c r="D12" s="3" t="str">
        <x:f>IF(COUNTIFS('逐張量測'!D11:D156,A12)&gt;0,"是","否")</x:f>
        <x:v>否</x:v>
      </x:c>
      <x:c r="E12" s="3" t="n">
        <x:f>COUNTIFS('逐張量測'!D11:D156,A12,'逐張量測'!B11:B156,"&lt;&gt;173_wang")</x:f>
        <x:v>0</x:v>
      </x:c>
      <x:c r="F12" s="3"/>
      <x:c r="G12" s="3"/>
      <x:c r="H12" s="3"/>
      <x:c r="I12" s="3"/>
      <x:c r="J12" s="3"/>
      <x:c r="K12" s="3"/>
      <x:c r="L12" s="3"/>
    </x:row>
    <x:row r="13" ht="26" customHeight="1">
      <x:c r="A13" s="3" t="n">
        <x:v>187</x:v>
      </x:c>
      <x:c r="B13" s="14" t="n">
        <x:f>'校正統計'!$B$7*A13+'校正統計'!$B$8</x:f>
        <x:v>0.27911111029749813</x:v>
      </x:c>
      <x:c r="C13" s="14" t="n">
        <x:f>A13/'校正統計'!$B$9</x:f>
        <x:v>0.2762702660982886</x:v>
      </x:c>
      <x:c r="D13" s="3" t="str">
        <x:f>IF(COUNTIFS('逐張量測'!D12:D157,A13)&gt;0,"是","否")</x:f>
        <x:v>否</x:v>
      </x:c>
      <x:c r="E13" s="3" t="n">
        <x:f>COUNTIFS('逐張量測'!D12:D157,A13,'逐張量測'!B12:B157,"&lt;&gt;173_wang")</x:f>
        <x:v>0</x:v>
      </x:c>
      <x:c r="F13" s="3"/>
      <x:c r="G13" s="3"/>
      <x:c r="H13" s="3"/>
      <x:c r="I13" s="3"/>
      <x:c r="J13" s="3"/>
      <x:c r="K13" s="3"/>
      <x:c r="L13" s="3"/>
    </x:row>
    <x:row r="14" ht="26" customHeight="1">
      <x:c r="A14" s="3" t="n">
        <x:v>188</x:v>
      </x:c>
      <x:c r="B14" s="14" t="n">
        <x:f>'校正統計'!$B$7*A14+'校正統計'!$B$8</x:f>
        <x:v>0.280485697151868</x:v>
      </x:c>
      <x:c r="C14" s="14" t="n">
        <x:f>A14/'校正統計'!$B$9</x:f>
        <x:v>0.27774764720041845</x:v>
      </x:c>
      <x:c r="D14" s="3" t="str">
        <x:f>IF(COUNTIFS('逐張量測'!D13:D158,A14)&gt;0,"是","否")</x:f>
        <x:v>否</x:v>
      </x:c>
      <x:c r="E14" s="3" t="n">
        <x:f>COUNTIFS('逐張量測'!D13:D158,A14,'逐張量測'!B13:B158,"&lt;&gt;173_wang")</x:f>
        <x:v>0</x:v>
      </x:c>
      <x:c r="F14" s="3"/>
      <x:c r="G14" s="3"/>
      <x:c r="H14" s="3"/>
      <x:c r="I14" s="3"/>
      <x:c r="J14" s="3"/>
      <x:c r="K14" s="3"/>
      <x:c r="L14" s="3"/>
    </x:row>
    <x:row r="15" ht="26" customHeight="1">
      <x:c r="A15" s="3" t="n">
        <x:v>189</x:v>
      </x:c>
      <x:c r="B15" s="14" t="n">
        <x:f>'校正統計'!$B$7*A15+'校正統計'!$B$8</x:f>
        <x:v>0.28186028400623786</x:v>
      </x:c>
      <x:c r="C15" s="14" t="n">
        <x:f>A15/'校正統計'!$B$9</x:f>
        <x:v>0.27922502830254836</x:v>
      </x:c>
      <x:c r="D15" s="3" t="str">
        <x:f>IF(COUNTIFS('逐張量測'!D14:D159,A15)&gt;0,"是","否")</x:f>
        <x:v>否</x:v>
      </x:c>
      <x:c r="E15" s="3" t="n">
        <x:f>COUNTIFS('逐張量測'!D14:D159,A15,'逐張量測'!B14:B159,"&lt;&gt;173_wang")</x:f>
        <x:v>0</x:v>
      </x:c>
      <x:c r="F15" s="3"/>
      <x:c r="G15" s="3"/>
      <x:c r="H15" s="3"/>
      <x:c r="I15" s="3"/>
      <x:c r="J15" s="3"/>
      <x:c r="K15" s="3"/>
      <x:c r="L15" s="3"/>
    </x:row>
    <x:row r="16" ht="26" customHeight="1">
      <x:c r="A16" s="3" t="n">
        <x:v>190</x:v>
      </x:c>
      <x:c r="B16" s="14" t="n">
        <x:f>'校正統計'!$B$7*A16+'校正統計'!$B$8</x:f>
        <x:v>0.2832348708606077</x:v>
      </x:c>
      <x:c r="C16" s="14" t="n">
        <x:f>A16/'校正統計'!$B$9</x:f>
        <x:v>0.2807024094046782</x:v>
      </x:c>
      <x:c r="D16" s="3" t="str">
        <x:f>IF(COUNTIFS('逐張量測'!D15:D160,A16)&gt;0,"是","否")</x:f>
        <x:v>是</x:v>
      </x:c>
      <x:c r="E16" s="3" t="n">
        <x:f>COUNTIFS('逐張量測'!D15:D160,A16,'逐張量測'!B15:B160,"&lt;&gt;173_wang")</x:f>
        <x:v>0</x:v>
      </x:c>
      <x:c r="F16" s="3"/>
      <x:c r="G16" s="3"/>
      <x:c r="H16" s="3"/>
      <x:c r="I16" s="3"/>
      <x:c r="J16" s="3"/>
      <x:c r="K16" s="3"/>
      <x:c r="L16" s="3"/>
    </x:row>
    <x:row r="17" ht="26" customHeight="1">
      <x:c r="A17" s="3" t="n">
        <x:v>191</x:v>
      </x:c>
      <x:c r="B17" s="14" t="n">
        <x:f>'校正統計'!$B$7*A17+'校正統計'!$B$8</x:f>
        <x:v>0.2846094577149776</x:v>
      </x:c>
      <x:c r="C17" s="14" t="n">
        <x:f>A17/'校正統計'!$B$9</x:f>
        <x:v>0.28217979050680814</x:v>
      </x:c>
      <x:c r="D17" s="3" t="str">
        <x:f>IF(COUNTIFS('逐張量測'!D16:D161,A17)&gt;0,"是","否")</x:f>
        <x:v>否</x:v>
      </x:c>
      <x:c r="E17" s="3" t="n">
        <x:f>COUNTIFS('逐張量測'!D16:D161,A17,'逐張量測'!B16:B161,"&lt;&gt;173_wang")</x:f>
        <x:v>0</x:v>
      </x:c>
      <x:c r="F17" s="3"/>
      <x:c r="G17" s="3"/>
      <x:c r="H17" s="3"/>
      <x:c r="I17" s="3"/>
      <x:c r="J17" s="3"/>
      <x:c r="K17" s="3"/>
      <x:c r="L17" s="3"/>
    </x:row>
    <x:row r="18" ht="26" customHeight="1">
      <x:c r="A18" s="3" t="n">
        <x:v>192</x:v>
      </x:c>
      <x:c r="B18" s="14" t="n">
        <x:f>'校正統計'!$B$7*A18+'校正統計'!$B$8</x:f>
        <x:v>0.28598404456934734</x:v>
      </x:c>
      <x:c r="C18" s="14" t="n">
        <x:f>A18/'校正統計'!$B$9</x:f>
        <x:v>0.283657171608938</x:v>
      </x:c>
      <x:c r="D18" s="3" t="str">
        <x:f>IF(COUNTIFS('逐張量測'!D17:D162,A18)&gt;0,"是","否")</x:f>
        <x:v>否</x:v>
      </x:c>
      <x:c r="E18" s="3" t="n">
        <x:f>COUNTIFS('逐張量測'!D17:D162,A18,'逐張量測'!B17:B162,"&lt;&gt;173_wang")</x:f>
        <x:v>0</x:v>
      </x:c>
      <x:c r="F18" s="3"/>
      <x:c r="G18" s="3"/>
      <x:c r="H18" s="3"/>
      <x:c r="I18" s="3"/>
      <x:c r="J18" s="3"/>
      <x:c r="K18" s="3"/>
      <x:c r="L18" s="3"/>
    </x:row>
    <x:row r="19" ht="26" customHeight="1">
      <x:c r="A19" s="3" t="n">
        <x:v>193</x:v>
      </x:c>
      <x:c r="B19" s="14" t="n">
        <x:f>'校正統計'!$B$7*A19+'校正統計'!$B$8</x:f>
        <x:v>0.2873586314237172</x:v>
      </x:c>
      <x:c r="C19" s="14" t="n">
        <x:f>A19/'校正統計'!$B$9</x:f>
        <x:v>0.2851345527110679</x:v>
      </x:c>
      <x:c r="D19" s="3" t="str">
        <x:f>IF(COUNTIFS('逐張量測'!D18:D163,A19)&gt;0,"是","否")</x:f>
        <x:v>否</x:v>
      </x:c>
      <x:c r="E19" s="3" t="n">
        <x:f>COUNTIFS('逐張量測'!D18:D163,A19,'逐張量測'!B18:B163,"&lt;&gt;173_wang")</x:f>
        <x:v>0</x:v>
      </x:c>
      <x:c r="F19" s="3"/>
      <x:c r="G19" s="3"/>
      <x:c r="H19" s="3"/>
      <x:c r="I19" s="3"/>
      <x:c r="J19" s="3"/>
      <x:c r="K19" s="3"/>
      <x:c r="L19" s="3"/>
    </x:row>
    <x:row r="20" ht="26" customHeight="1">
      <x:c r="A20" s="3" t="n">
        <x:v>194</x:v>
      </x:c>
      <x:c r="B20" s="14" t="n">
        <x:f>'校正統計'!$B$7*A20+'校正統計'!$B$8</x:f>
        <x:v>0.28873321827808707</x:v>
      </x:c>
      <x:c r="C20" s="14" t="n">
        <x:f>A20/'校正統計'!$B$9</x:f>
        <x:v>0.2866119338131978</x:v>
      </x:c>
      <x:c r="D20" s="3" t="str">
        <x:f>IF(COUNTIFS('逐張量測'!D19:D164,A20)&gt;0,"是","否")</x:f>
        <x:v>否</x:v>
      </x:c>
      <x:c r="E20" s="3" t="n">
        <x:f>COUNTIFS('逐張量測'!D19:D164,A20,'逐張量測'!B19:B164,"&lt;&gt;173_wang")</x:f>
        <x:v>0</x:v>
      </x:c>
      <x:c r="F20" s="3"/>
      <x:c r="G20" s="3"/>
      <x:c r="H20" s="3"/>
      <x:c r="I20" s="3"/>
      <x:c r="J20" s="3"/>
      <x:c r="K20" s="3"/>
      <x:c r="L20" s="3"/>
    </x:row>
    <x:row r="21" ht="26" customHeight="1">
      <x:c r="A21" s="3" t="n">
        <x:v>195</x:v>
      </x:c>
      <x:c r="B21" s="14" t="n">
        <x:f>'校正統計'!$B$7*A21+'校正統計'!$B$8</x:f>
        <x:v>0.29010780513245693</x:v>
      </x:c>
      <x:c r="C21" s="14" t="n">
        <x:f>A21/'校正統計'!$B$9</x:f>
        <x:v>0.28808931491532763</x:v>
      </x:c>
      <x:c r="D21" s="3" t="str">
        <x:f>IF(COUNTIFS('逐張量測'!D20:D165,A21)&gt;0,"是","否")</x:f>
        <x:v>否</x:v>
      </x:c>
      <x:c r="E21" s="3" t="n">
        <x:f>COUNTIFS('逐張量測'!D20:D165,A21,'逐張量測'!B20:B165,"&lt;&gt;173_wang")</x:f>
        <x:v>0</x:v>
      </x:c>
      <x:c r="F21" s="3"/>
      <x:c r="G21" s="3"/>
      <x:c r="H21" s="3"/>
      <x:c r="I21" s="3"/>
      <x:c r="J21" s="3"/>
      <x:c r="K21" s="3"/>
      <x:c r="L21" s="3"/>
    </x:row>
    <x:row r="22" ht="26" customHeight="1">
      <x:c r="A22" s="3" t="n">
        <x:v>196</x:v>
      </x:c>
      <x:c r="B22" s="14" t="n">
        <x:f>'校正統計'!$B$7*A22+'校正統計'!$B$8</x:f>
        <x:v>0.2914823919868268</x:v>
      </x:c>
      <x:c r="C22" s="14" t="n">
        <x:f>A22/'校正統計'!$B$9</x:f>
        <x:v>0.28956669601745755</x:v>
      </x:c>
      <x:c r="D22" s="3" t="str">
        <x:f>IF(COUNTIFS('逐張量測'!D21:D166,A22)&gt;0,"是","否")</x:f>
        <x:v>否</x:v>
      </x:c>
      <x:c r="E22" s="3" t="n">
        <x:f>COUNTIFS('逐張量測'!D21:D166,A22,'逐張量測'!B21:B166,"&lt;&gt;173_wang")</x:f>
        <x:v>0</x:v>
      </x:c>
      <x:c r="F22" s="3"/>
      <x:c r="G22" s="3"/>
      <x:c r="H22" s="3"/>
      <x:c r="I22" s="3"/>
      <x:c r="J22" s="3"/>
      <x:c r="K22" s="3"/>
      <x:c r="L22" s="3"/>
    </x:row>
    <x:row r="23" ht="26" customHeight="1">
      <x:c r="A23" s="3" t="n">
        <x:v>197</x:v>
      </x:c>
      <x:c r="B23" s="14" t="n">
        <x:f>'校正統計'!$B$7*A23+'校正統計'!$B$8</x:f>
        <x:v>0.29285697884119655</x:v>
      </x:c>
      <x:c r="C23" s="14" t="n">
        <x:f>A23/'校正統計'!$B$9</x:f>
        <x:v>0.2910440771195874</x:v>
      </x:c>
      <x:c r="D23" s="3" t="str">
        <x:f>IF(COUNTIFS('逐張量測'!D22:D167,A23)&gt;0,"是","否")</x:f>
        <x:v>否</x:v>
      </x:c>
      <x:c r="E23" s="3" t="n">
        <x:f>COUNTIFS('逐張量測'!D22:D167,A23,'逐張量測'!B22:B167,"&lt;&gt;173_wang")</x:f>
        <x:v>0</x:v>
      </x:c>
      <x:c r="F23" s="3"/>
      <x:c r="G23" s="3"/>
      <x:c r="H23" s="3"/>
      <x:c r="I23" s="3"/>
      <x:c r="J23" s="3"/>
      <x:c r="K23" s="3"/>
      <x:c r="L23" s="3"/>
    </x:row>
    <x:row r="24" ht="26" customHeight="1">
      <x:c r="A24" s="3" t="n">
        <x:v>198</x:v>
      </x:c>
      <x:c r="B24" s="14" t="n">
        <x:f>'校正統計'!$B$7*A24+'校正統計'!$B$8</x:f>
        <x:v>0.2942315656955664</x:v>
      </x:c>
      <x:c r="C24" s="14" t="n">
        <x:f>A24/'校正統計'!$B$9</x:f>
        <x:v>0.2925214582217173</x:v>
      </x:c>
      <x:c r="D24" s="3" t="str">
        <x:f>IF(COUNTIFS('逐張量測'!D23:D168,A24)&gt;0,"是","否")</x:f>
        <x:v>否</x:v>
      </x:c>
      <x:c r="E24" s="3" t="n">
        <x:f>COUNTIFS('逐張量測'!D23:D168,A24,'逐張量測'!B23:B168,"&lt;&gt;173_wang")</x:f>
        <x:v>0</x:v>
      </x:c>
      <x:c r="F24" s="3"/>
      <x:c r="G24" s="3"/>
      <x:c r="H24" s="3"/>
      <x:c r="I24" s="3"/>
      <x:c r="J24" s="3"/>
      <x:c r="K24" s="3"/>
      <x:c r="L24" s="3"/>
    </x:row>
    <x:row r="25" ht="26" customHeight="1">
      <x:c r="A25" s="3" t="n">
        <x:v>199</x:v>
      </x:c>
      <x:c r="B25" s="14" t="n">
        <x:f>'校正統計'!$B$7*A25+'校正統計'!$B$8</x:f>
        <x:v>0.2956061525499363</x:v>
      </x:c>
      <x:c r="C25" s="14" t="n">
        <x:f>A25/'校正統計'!$B$9</x:f>
        <x:v>0.2939988393238472</x:v>
      </x:c>
      <x:c r="D25" s="3" t="str">
        <x:f>IF(COUNTIFS('逐張量測'!D24:D169,A25)&gt;0,"是","否")</x:f>
        <x:v>否</x:v>
      </x:c>
      <x:c r="E25" s="3" t="n">
        <x:f>COUNTIFS('逐張量測'!D24:D169,A25,'逐張量測'!B24:B169,"&lt;&gt;173_wang")</x:f>
        <x:v>0</x:v>
      </x:c>
      <x:c r="F25" s="3"/>
      <x:c r="G25" s="3"/>
      <x:c r="H25" s="3"/>
      <x:c r="I25" s="3"/>
      <x:c r="J25" s="3"/>
      <x:c r="K25" s="3"/>
      <x:c r="L25" s="3"/>
    </x:row>
    <x:row r="26" ht="26" customHeight="1">
      <x:c r="A26" s="3" t="n">
        <x:v>200</x:v>
      </x:c>
      <x:c r="B26" s="14" t="n">
        <x:f>'校正統計'!$B$7*A26+'校正統計'!$B$8</x:f>
        <x:v>0.29698073940430614</x:v>
      </x:c>
      <x:c r="C26" s="14" t="n">
        <x:f>A26/'校正統計'!$B$9</x:f>
        <x:v>0.2954762204259771</x:v>
      </x:c>
      <x:c r="D26" s="3" t="str">
        <x:f>IF(COUNTIFS('逐張量測'!D25:D170,A26)&gt;0,"是","否")</x:f>
        <x:v>是</x:v>
      </x:c>
      <x:c r="E26" s="3" t="n">
        <x:f>COUNTIFS('逐張量測'!D25:D170,A26,'逐張量測'!B25:B170,"&lt;&gt;173_wang")</x:f>
        <x:v>14</x:v>
      </x:c>
      <x:c r="F26" s="3"/>
      <x:c r="G26" s="3"/>
      <x:c r="H26" s="3"/>
      <x:c r="I26" s="3"/>
      <x:c r="J26" s="3"/>
      <x:c r="K26" s="3"/>
      <x:c r="L26" s="3"/>
    </x:row>
    <x:row r="27" ht="26" customHeight="1">
      <x:c r="A27" s="3" t="n">
        <x:v>201</x:v>
      </x:c>
      <x:c r="B27" s="14" t="n">
        <x:f>'校正統計'!$B$7*A27+'校正統計'!$B$8</x:f>
        <x:v>0.298355326258676</x:v>
      </x:c>
      <x:c r="C27" s="14" t="n">
        <x:f>A27/'校正統計'!$B$9</x:f>
        <x:v>0.29695360152810696</x:v>
      </x:c>
      <x:c r="D27" s="3" t="str">
        <x:f>IF(COUNTIFS('逐張量測'!D26:D171,A27)&gt;0,"是","否")</x:f>
        <x:v>否</x:v>
      </x:c>
      <x:c r="E27" s="3" t="n">
        <x:f>COUNTIFS('逐張量測'!D26:D171,A27,'逐張量測'!B26:B171,"&lt;&gt;173_wang")</x:f>
        <x:v>0</x:v>
      </x:c>
      <x:c r="F27" s="3"/>
      <x:c r="G27" s="3"/>
      <x:c r="H27" s="3"/>
      <x:c r="I27" s="3"/>
      <x:c r="J27" s="3"/>
      <x:c r="K27" s="3"/>
      <x:c r="L27" s="3"/>
    </x:row>
    <x:row r="28" ht="26" customHeight="1">
      <x:c r="A28" s="3" t="n">
        <x:v>202</x:v>
      </x:c>
      <x:c r="B28" s="14" t="n">
        <x:f>'校正統計'!$B$7*A28+'校正統計'!$B$8</x:f>
        <x:v>0.29972991311304586</x:v>
      </x:c>
      <x:c r="C28" s="14" t="n">
        <x:f>A28/'校正統計'!$B$9</x:f>
        <x:v>0.2984309826302369</x:v>
      </x:c>
      <x:c r="D28" s="3" t="str">
        <x:f>IF(COUNTIFS('逐張量測'!D27:D172,A28)&gt;0,"是","否")</x:f>
        <x:v>否</x:v>
      </x:c>
      <x:c r="E28" s="3" t="n">
        <x:f>COUNTIFS('逐張量測'!D27:D172,A28,'逐張量測'!B27:B172,"&lt;&gt;173_wang")</x:f>
        <x:v>0</x:v>
      </x:c>
      <x:c r="F28" s="3"/>
      <x:c r="G28" s="3"/>
      <x:c r="H28" s="3"/>
      <x:c r="I28" s="3"/>
      <x:c r="J28" s="3"/>
      <x:c r="K28" s="3"/>
      <x:c r="L28" s="3"/>
    </x:row>
    <x:row r="29" ht="26" customHeight="1">
      <x:c r="A29" s="3" t="n">
        <x:v>203</x:v>
      </x:c>
      <x:c r="B29" s="14" t="n">
        <x:f>'校正統計'!$B$7*A29+'校正統計'!$B$8</x:f>
        <x:v>0.3011044999674156</x:v>
      </x:c>
      <x:c r="C29" s="14" t="n">
        <x:f>A29/'校正統計'!$B$9</x:f>
        <x:v>0.29990836373236673</x:v>
      </x:c>
      <x:c r="D29" s="3" t="str">
        <x:f>IF(COUNTIFS('逐張量測'!D28:D173,A29)&gt;0,"是","否")</x:f>
        <x:v>否</x:v>
      </x:c>
      <x:c r="E29" s="3" t="n">
        <x:f>COUNTIFS('逐張量測'!D28:D173,A29,'逐張量測'!B28:B173,"&lt;&gt;173_wang")</x:f>
        <x:v>0</x:v>
      </x:c>
      <x:c r="F29" s="3"/>
      <x:c r="G29" s="3"/>
      <x:c r="H29" s="3"/>
      <x:c r="I29" s="3"/>
      <x:c r="J29" s="3"/>
      <x:c r="K29" s="3"/>
      <x:c r="L29" s="3"/>
    </x:row>
    <x:row r="30" ht="26" customHeight="1">
      <x:c r="A30" s="3" t="n">
        <x:v>204</x:v>
      </x:c>
      <x:c r="B30" s="14" t="n">
        <x:f>'校正統計'!$B$7*A30+'校正統計'!$B$8</x:f>
        <x:v>0.3024790868217855</x:v>
      </x:c>
      <x:c r="C30" s="14" t="n">
        <x:f>A30/'校正統計'!$B$9</x:f>
        <x:v>0.30138574483449665</x:v>
      </x:c>
      <x:c r="D30" s="3" t="str">
        <x:f>IF(COUNTIFS('逐張量測'!D29:D174,A30)&gt;0,"是","否")</x:f>
        <x:v>否</x:v>
      </x:c>
      <x:c r="E30" s="3" t="n">
        <x:f>COUNTIFS('逐張量測'!D29:D174,A30,'逐張量測'!B29:B174,"&lt;&gt;173_wang")</x:f>
        <x:v>0</x:v>
      </x:c>
      <x:c r="F30" s="3"/>
      <x:c r="G30" s="3"/>
      <x:c r="H30" s="3"/>
      <x:c r="I30" s="3"/>
      <x:c r="J30" s="3"/>
      <x:c r="K30" s="3"/>
      <x:c r="L30" s="3"/>
    </x:row>
    <x:row r="31" ht="26" customHeight="1">
      <x:c r="A31" s="3" t="n">
        <x:v>205</x:v>
      </x:c>
      <x:c r="B31" s="14" t="n">
        <x:f>'校正統計'!$B$7*A31+'校正統計'!$B$8</x:f>
        <x:v>0.30385367367615534</x:v>
      </x:c>
      <x:c r="C31" s="14" t="n">
        <x:f>A31/'校正統計'!$B$9</x:f>
        <x:v>0.3028631259366265</x:v>
      </x:c>
      <x:c r="D31" s="3" t="str">
        <x:f>IF(COUNTIFS('逐張量測'!D30:D175,A31)&gt;0,"是","否")</x:f>
        <x:v>否</x:v>
      </x:c>
      <x:c r="E31" s="3" t="n">
        <x:f>COUNTIFS('逐張量測'!D30:D175,A31,'逐張量測'!B30:B175,"&lt;&gt;173_wang")</x:f>
        <x:v>0</x:v>
      </x:c>
      <x:c r="F31" s="3"/>
      <x:c r="G31" s="3"/>
      <x:c r="H31" s="3"/>
      <x:c r="I31" s="3"/>
      <x:c r="J31" s="3"/>
      <x:c r="K31" s="3"/>
      <x:c r="L31" s="3"/>
    </x:row>
    <x:row r="32" ht="26" customHeight="1">
      <x:c r="A32" s="3" t="n">
        <x:v>206</x:v>
      </x:c>
      <x:c r="B32" s="14" t="n">
        <x:f>'校正統計'!$B$7*A32+'校正統計'!$B$8</x:f>
        <x:v>0.3052282605305252</x:v>
      </x:c>
      <x:c r="C32" s="14" t="n">
        <x:f>A32/'校正統計'!$B$9</x:f>
        <x:v>0.30434050703875637</x:v>
      </x:c>
      <x:c r="D32" s="3" t="str">
        <x:f>IF(COUNTIFS('逐張量測'!D31:D176,A32)&gt;0,"是","否")</x:f>
        <x:v>否</x:v>
      </x:c>
      <x:c r="E32" s="3" t="n">
        <x:f>COUNTIFS('逐張量測'!D31:D176,A32,'逐張量測'!B31:B176,"&lt;&gt;173_wang")</x:f>
        <x:v>0</x:v>
      </x:c>
      <x:c r="F32" s="3"/>
      <x:c r="G32" s="3"/>
      <x:c r="H32" s="3"/>
      <x:c r="I32" s="3"/>
      <x:c r="J32" s="3"/>
      <x:c r="K32" s="3"/>
      <x:c r="L32" s="3"/>
    </x:row>
    <x:row r="33" ht="26" customHeight="1">
      <x:c r="A33" s="3" t="n">
        <x:v>207</x:v>
      </x:c>
      <x:c r="B33" s="14" t="n">
        <x:f>'校正統計'!$B$7*A33+'校正統計'!$B$8</x:f>
        <x:v>0.30660284738489507</x:v>
      </x:c>
      <x:c r="C33" s="14" t="n">
        <x:f>A33/'校正統計'!$B$9</x:f>
        <x:v>0.3058178881408863</x:v>
      </x:c>
      <x:c r="D33" s="3" t="str">
        <x:f>IF(COUNTIFS('逐張量測'!D32:D177,A33)&gt;0,"是","否")</x:f>
        <x:v>否</x:v>
      </x:c>
      <x:c r="E33" s="3" t="n">
        <x:f>COUNTIFS('逐張量測'!D32:D177,A33,'逐張量測'!B32:B177,"&lt;&gt;173_wang")</x:f>
        <x:v>0</x:v>
      </x:c>
      <x:c r="F33" s="3"/>
      <x:c r="G33" s="3"/>
      <x:c r="H33" s="3"/>
      <x:c r="I33" s="3"/>
      <x:c r="J33" s="3"/>
      <x:c r="K33" s="3"/>
      <x:c r="L33" s="3"/>
    </x:row>
    <x:row r="34" ht="26" customHeight="1">
      <x:c r="A34" s="3" t="n">
        <x:v>208</x:v>
      </x:c>
      <x:c r="B34" s="14" t="n">
        <x:f>'校正統計'!$B$7*A34+'校正統計'!$B$8</x:f>
        <x:v>0.3079774342392648</x:v>
      </x:c>
      <x:c r="C34" s="14" t="n">
        <x:f>A34/'校正統計'!$B$9</x:f>
        <x:v>0.30729526924301614</x:v>
      </x:c>
      <x:c r="D34" s="3" t="str">
        <x:f>IF(COUNTIFS('逐張量測'!D33:D178,A34)&gt;0,"是","否")</x:f>
        <x:v>否</x:v>
      </x:c>
      <x:c r="E34" s="3" t="n">
        <x:f>COUNTIFS('逐張量測'!D33:D178,A34,'逐張量測'!B33:B178,"&lt;&gt;173_wang")</x:f>
        <x:v>0</x:v>
      </x:c>
      <x:c r="F34" s="3"/>
      <x:c r="G34" s="3"/>
      <x:c r="H34" s="3"/>
      <x:c r="I34" s="3"/>
      <x:c r="J34" s="3"/>
      <x:c r="K34" s="3"/>
      <x:c r="L34" s="3"/>
    </x:row>
    <x:row r="35" ht="26" customHeight="1">
      <x:c r="A35" s="3" t="n">
        <x:v>209</x:v>
      </x:c>
      <x:c r="B35" s="14" t="n">
        <x:f>'校正統計'!$B$7*A35+'校正統計'!$B$8</x:f>
        <x:v>0.3093520210936347</x:v>
      </x:c>
      <x:c r="C35" s="14" t="n">
        <x:f>A35/'校正統計'!$B$9</x:f>
        <x:v>0.30877265034514606</x:v>
      </x:c>
      <x:c r="D35" s="3" t="str">
        <x:f>IF(COUNTIFS('逐張量測'!D34:D179,A35)&gt;0,"是","否")</x:f>
        <x:v>否</x:v>
      </x:c>
      <x:c r="E35" s="3" t="n">
        <x:f>COUNTIFS('逐張量測'!D34:D179,A35,'逐張量測'!B34:B179,"&lt;&gt;173_wang")</x:f>
        <x:v>0</x:v>
      </x:c>
      <x:c r="F35" s="3"/>
      <x:c r="G35" s="3"/>
      <x:c r="H35" s="3"/>
      <x:c r="I35" s="3"/>
      <x:c r="J35" s="3"/>
      <x:c r="K35" s="3"/>
      <x:c r="L35" s="3"/>
    </x:row>
    <x:row r="36" ht="26" customHeight="1">
      <x:c r="A36" s="3" t="n">
        <x:v>210</x:v>
      </x:c>
      <x:c r="B36" s="14" t="n">
        <x:f>'校正統計'!$B$7*A36+'校正統計'!$B$8</x:f>
        <x:v>0.31072660794800455</x:v>
      </x:c>
      <x:c r="C36" s="14" t="n">
        <x:f>A36/'校正統計'!$B$9</x:f>
        <x:v>0.3102500314472759</x:v>
      </x:c>
      <x:c r="D36" s="3" t="str">
        <x:f>IF(COUNTIFS('逐張量測'!D35:D180,A36)&gt;0,"是","否")</x:f>
        <x:v>否</x:v>
      </x:c>
      <x:c r="E36" s="3" t="n">
        <x:f>COUNTIFS('逐張量測'!D35:D180,A36,'逐張量測'!B35:B180,"&lt;&gt;173_wang")</x:f>
        <x:v>0</x:v>
      </x:c>
      <x:c r="F36" s="3"/>
      <x:c r="G36" s="3"/>
      <x:c r="H36" s="3"/>
      <x:c r="I36" s="3"/>
      <x:c r="J36" s="3"/>
      <x:c r="K36" s="3"/>
      <x:c r="L36" s="3"/>
    </x:row>
    <x:row r="37" ht="26" customHeight="1">
      <x:c r="A37" s="3" t="n">
        <x:v>211</x:v>
      </x:c>
      <x:c r="B37" s="14" t="n">
        <x:f>'校正統計'!$B$7*A37+'校正統計'!$B$8</x:f>
        <x:v>0.3121011948023744</x:v>
      </x:c>
      <x:c r="C37" s="14" t="n">
        <x:f>A37/'校正統計'!$B$9</x:f>
        <x:v>0.31172741254940584</x:v>
      </x:c>
      <x:c r="D37" s="3" t="str">
        <x:f>IF(COUNTIFS('逐張量測'!D36:D181,A37)&gt;0,"是","否")</x:f>
        <x:v>否</x:v>
      </x:c>
      <x:c r="E37" s="3" t="n">
        <x:f>COUNTIFS('逐張量測'!D36:D181,A37,'逐張量測'!B36:B181,"&lt;&gt;173_wang")</x:f>
        <x:v>0</x:v>
      </x:c>
      <x:c r="F37" s="3"/>
      <x:c r="G37" s="3"/>
      <x:c r="H37" s="3"/>
      <x:c r="I37" s="3"/>
      <x:c r="J37" s="3"/>
      <x:c r="K37" s="3"/>
      <x:c r="L37" s="3"/>
    </x:row>
    <x:row r="38" ht="26" customHeight="1">
      <x:c r="A38" s="3" t="n">
        <x:v>212</x:v>
      </x:c>
      <x:c r="B38" s="14" t="n">
        <x:f>'校正統計'!$B$7*A38+'校正統計'!$B$8</x:f>
        <x:v>0.3134757816567443</x:v>
      </x:c>
      <x:c r="C38" s="14" t="n">
        <x:f>A38/'校正統計'!$B$9</x:f>
        <x:v>0.3132047936515357</x:v>
      </x:c>
      <x:c r="D38" s="3" t="str">
        <x:f>IF(COUNTIFS('逐張量測'!D37:D182,A38)&gt;0,"是","否")</x:f>
        <x:v>否</x:v>
      </x:c>
      <x:c r="E38" s="3" t="n">
        <x:f>COUNTIFS('逐張量測'!D37:D182,A38,'逐張量測'!B37:B182,"&lt;&gt;173_wang")</x:f>
        <x:v>0</x:v>
      </x:c>
      <x:c r="F38" s="3"/>
      <x:c r="G38" s="3"/>
      <x:c r="H38" s="3"/>
      <x:c r="I38" s="3"/>
      <x:c r="J38" s="3"/>
      <x:c r="K38" s="3"/>
      <x:c r="L38" s="3"/>
    </x:row>
    <x:row r="39" ht="26" customHeight="1">
      <x:c r="A39" s="3" t="n">
        <x:v>213</x:v>
      </x:c>
      <x:c r="B39" s="14" t="n">
        <x:f>'校正統計'!$B$7*A39+'校正統計'!$B$8</x:f>
        <x:v>0.31485036851111414</x:v>
      </x:c>
      <x:c r="C39" s="14" t="n">
        <x:f>A39/'校正統計'!$B$9</x:f>
        <x:v>0.3146821747536656</x:v>
      </x:c>
      <x:c r="D39" s="3" t="str">
        <x:f>IF(COUNTIFS('逐張量測'!D38:D183,A39)&gt;0,"是","否")</x:f>
        <x:v>否</x:v>
      </x:c>
      <x:c r="E39" s="3" t="n">
        <x:f>COUNTIFS('逐張量測'!D38:D183,A39,'逐張量測'!B38:B183,"&lt;&gt;173_wang")</x:f>
        <x:v>0</x:v>
      </x:c>
      <x:c r="F39" s="3"/>
      <x:c r="G39" s="3"/>
      <x:c r="H39" s="3"/>
      <x:c r="I39" s="3"/>
      <x:c r="J39" s="3"/>
      <x:c r="K39" s="3"/>
      <x:c r="L39" s="3"/>
    </x:row>
    <x:row r="40" ht="26" customHeight="1">
      <x:c r="A40" s="3" t="n">
        <x:v>214</x:v>
      </x:c>
      <x:c r="B40" s="14" t="n">
        <x:f>'校正統計'!$B$7*A40+'校正統計'!$B$8</x:f>
        <x:v>0.3162249553654839</x:v>
      </x:c>
      <x:c r="C40" s="14" t="n">
        <x:f>A40/'校正統計'!$B$9</x:f>
        <x:v>0.31615955585579547</x:v>
      </x:c>
      <x:c r="D40" s="3" t="str">
        <x:f>IF(COUNTIFS('逐張量測'!D39:D184,A40)&gt;0,"是","否")</x:f>
        <x:v>否</x:v>
      </x:c>
      <x:c r="E40" s="3" t="n">
        <x:f>COUNTIFS('逐張量測'!D39:D184,A40,'逐張量測'!B39:B184,"&lt;&gt;173_wang")</x:f>
        <x:v>0</x:v>
      </x:c>
      <x:c r="F40" s="3"/>
      <x:c r="G40" s="3"/>
      <x:c r="H40" s="3"/>
      <x:c r="I40" s="3"/>
      <x:c r="J40" s="3"/>
      <x:c r="K40" s="3"/>
      <x:c r="L40" s="3"/>
    </x:row>
    <x:row r="41" ht="26" customHeight="1">
      <x:c r="A41" s="3" t="n">
        <x:v>215</x:v>
      </x:c>
      <x:c r="B41" s="14" t="n">
        <x:f>'校正統計'!$B$7*A41+'校正統計'!$B$8</x:f>
        <x:v>0.31759954221985376</x:v>
      </x:c>
      <x:c r="C41" s="14" t="n">
        <x:f>A41/'校正統計'!$B$9</x:f>
        <x:v>0.3176369369579254</x:v>
      </x:c>
      <x:c r="D41" s="3" t="str">
        <x:f>IF(COUNTIFS('逐張量測'!D40:D185,A41)&gt;0,"是","否")</x:f>
        <x:v>否</x:v>
      </x:c>
      <x:c r="E41" s="3" t="n">
        <x:f>COUNTIFS('逐張量測'!D40:D185,A41,'逐張量測'!B40:B185,"&lt;&gt;173_wang")</x:f>
        <x:v>0</x:v>
      </x:c>
      <x:c r="F41" s="3"/>
      <x:c r="G41" s="3"/>
      <x:c r="H41" s="3"/>
      <x:c r="I41" s="3"/>
      <x:c r="J41" s="3"/>
      <x:c r="K41" s="3"/>
      <x:c r="L41" s="3"/>
    </x:row>
    <x:row r="42" ht="26" customHeight="1">
      <x:c r="A42" s="3" t="n">
        <x:v>216</x:v>
      </x:c>
      <x:c r="B42" s="14" t="n">
        <x:f>'校正統計'!$B$7*A42+'校正統計'!$B$8</x:f>
        <x:v>0.3189741290742236</x:v>
      </x:c>
      <x:c r="C42" s="14" t="n">
        <x:f>A42/'校正統計'!$B$9</x:f>
        <x:v>0.31911431806005525</x:v>
      </x:c>
      <x:c r="D42" s="3" t="str">
        <x:f>IF(COUNTIFS('逐張量測'!D41:D186,A42)&gt;0,"是","否")</x:f>
        <x:v>否</x:v>
      </x:c>
      <x:c r="E42" s="3" t="n">
        <x:f>COUNTIFS('逐張量測'!D41:D186,A42,'逐張量測'!B41:B186,"&lt;&gt;173_wang")</x:f>
        <x:v>0</x:v>
      </x:c>
      <x:c r="F42" s="3"/>
      <x:c r="G42" s="3"/>
      <x:c r="H42" s="3"/>
      <x:c r="I42" s="3"/>
      <x:c r="J42" s="3"/>
      <x:c r="K42" s="3"/>
      <x:c r="L42" s="3"/>
    </x:row>
    <x:row r="43" ht="26" customHeight="1">
      <x:c r="A43" s="3" t="n">
        <x:v>217</x:v>
      </x:c>
      <x:c r="B43" s="14" t="n">
        <x:f>'校正統計'!$B$7*A43+'校正統計'!$B$8</x:f>
        <x:v>0.3203487159285935</x:v>
      </x:c>
      <x:c r="C43" s="14" t="n">
        <x:f>A43/'校正統計'!$B$9</x:f>
        <x:v>0.32059169916218516</x:v>
      </x:c>
      <x:c r="D43" s="3" t="str">
        <x:f>IF(COUNTIFS('逐張量測'!D42:D187,A43)&gt;0,"是","否")</x:f>
        <x:v>否</x:v>
      </x:c>
      <x:c r="E43" s="3" t="n">
        <x:f>COUNTIFS('逐張量測'!D42:D187,A43,'逐張量測'!B42:B187,"&lt;&gt;173_wang")</x:f>
        <x:v>0</x:v>
      </x:c>
      <x:c r="F43" s="3"/>
      <x:c r="G43" s="3"/>
      <x:c r="H43" s="3"/>
      <x:c r="I43" s="3"/>
      <x:c r="J43" s="3"/>
      <x:c r="K43" s="3"/>
      <x:c r="L43" s="3"/>
    </x:row>
    <x:row r="44" ht="26" customHeight="1">
      <x:c r="A44" s="3" t="n">
        <x:v>218</x:v>
      </x:c>
      <x:c r="B44" s="14" t="n">
        <x:f>'校正統計'!$B$7*A44+'校正統計'!$B$8</x:f>
        <x:v>0.32172330278296335</x:v>
      </x:c>
      <x:c r="C44" s="14" t="n">
        <x:f>A44/'校正統計'!$B$9</x:f>
        <x:v>0.322069080264315</x:v>
      </x:c>
      <x:c r="D44" s="3" t="str">
        <x:f>IF(COUNTIFS('逐張量測'!D43:D188,A44)&gt;0,"是","否")</x:f>
        <x:v>否</x:v>
      </x:c>
      <x:c r="E44" s="3" t="n">
        <x:f>COUNTIFS('逐張量測'!D43:D188,A44,'逐張量測'!B43:B188,"&lt;&gt;173_wang")</x:f>
        <x:v>0</x:v>
      </x:c>
      <x:c r="F44" s="3"/>
      <x:c r="G44" s="3"/>
      <x:c r="H44" s="3"/>
      <x:c r="I44" s="3"/>
      <x:c r="J44" s="3"/>
      <x:c r="K44" s="3"/>
      <x:c r="L44" s="3"/>
    </x:row>
    <x:row r="45" ht="26" customHeight="1">
      <x:c r="A45" s="3" t="n">
        <x:v>219</x:v>
      </x:c>
      <x:c r="B45" s="14" t="n">
        <x:f>'校正統計'!$B$7*A45+'校正統計'!$B$8</x:f>
        <x:v>0.3230978896373331</x:v>
      </x:c>
      <x:c r="C45" s="14" t="n">
        <x:f>A45/'校正統計'!$B$9</x:f>
        <x:v>0.3235464613664449</x:v>
      </x:c>
      <x:c r="D45" s="3" t="str">
        <x:f>IF(COUNTIFS('逐張量測'!D44:D189,A45)&gt;0,"是","否")</x:f>
        <x:v>否</x:v>
      </x:c>
      <x:c r="E45" s="3" t="n">
        <x:f>COUNTIFS('逐張量測'!D44:D189,A45,'逐張量測'!B44:B189,"&lt;&gt;173_wang")</x:f>
        <x:v>0</x:v>
      </x:c>
      <x:c r="F45" s="3"/>
      <x:c r="G45" s="3"/>
      <x:c r="H45" s="3"/>
      <x:c r="I45" s="3"/>
      <x:c r="J45" s="3"/>
      <x:c r="K45" s="3"/>
      <x:c r="L45" s="3"/>
    </x:row>
    <x:row r="46" ht="26" customHeight="1">
      <x:c r="A46" s="3" t="n">
        <x:v>220</x:v>
      </x:c>
      <x:c r="B46" s="14" t="n">
        <x:f>'校正統計'!$B$7*A46+'校正統計'!$B$8</x:f>
        <x:v>0.32447247649170297</x:v>
      </x:c>
      <x:c r="C46" s="14" t="n">
        <x:f>A46/'校正統計'!$B$9</x:f>
        <x:v>0.3250238424685748</x:v>
      </x:c>
      <x:c r="D46" s="3" t="str">
        <x:f>IF(COUNTIFS('逐張量測'!D45:D190,A46)&gt;0,"是","否")</x:f>
        <x:v>是</x:v>
      </x:c>
      <x:c r="E46" s="3" t="n">
        <x:f>COUNTIFS('逐張量測'!D45:D190,A46,'逐張量測'!B45:B190,"&lt;&gt;173_wang")</x:f>
        <x:v>15</x:v>
      </x:c>
      <x:c r="F46" s="3"/>
      <x:c r="G46" s="3"/>
      <x:c r="H46" s="3"/>
      <x:c r="I46" s="3"/>
      <x:c r="J46" s="3"/>
      <x:c r="K46" s="3"/>
      <x:c r="L46" s="3"/>
    </x:row>
    <x:row r="47" ht="26" customHeight="1">
      <x:c r="A47" s="3" t="n">
        <x:v>221</x:v>
      </x:c>
      <x:c r="B47" s="14" t="n">
        <x:f>'校正統計'!$B$7*A47+'校正統計'!$B$8</x:f>
        <x:v>0.32584706334607283</x:v>
      </x:c>
      <x:c r="C47" s="14" t="n">
        <x:f>A47/'校正統計'!$B$9</x:f>
        <x:v>0.32650122357070466</x:v>
      </x:c>
      <x:c r="D47" s="3" t="str">
        <x:f>IF(COUNTIFS('逐張量測'!D46:D191,A47)&gt;0,"是","否")</x:f>
        <x:v>否</x:v>
      </x:c>
      <x:c r="E47" s="3" t="n">
        <x:f>COUNTIFS('逐張量測'!D46:D191,A47,'逐張量測'!B46:B191,"&lt;&gt;173_wang")</x:f>
        <x:v>0</x:v>
      </x:c>
      <x:c r="F47" s="3"/>
      <x:c r="G47" s="3"/>
      <x:c r="H47" s="3"/>
      <x:c r="I47" s="3"/>
      <x:c r="J47" s="3"/>
      <x:c r="K47" s="3"/>
      <x:c r="L47" s="3"/>
    </x:row>
    <x:row r="48" ht="26" customHeight="1">
      <x:c r="A48" s="3" t="n">
        <x:v>222</x:v>
      </x:c>
      <x:c r="B48" s="14" t="n">
        <x:f>'校正統計'!$B$7*A48+'校正統計'!$B$8</x:f>
        <x:v>0.3272216502004427</x:v>
      </x:c>
      <x:c r="C48" s="14" t="n">
        <x:f>A48/'校正統計'!$B$9</x:f>
        <x:v>0.3279786046728346</x:v>
      </x:c>
      <x:c r="D48" s="3" t="str">
        <x:f>IF(COUNTIFS('逐張量測'!D47:D192,A48)&gt;0,"是","否")</x:f>
        <x:v>否</x:v>
      </x:c>
      <x:c r="E48" s="3" t="n">
        <x:f>COUNTIFS('逐張量測'!D47:D192,A48,'逐張量測'!B47:B192,"&lt;&gt;173_wang")</x:f>
        <x:v>0</x:v>
      </x:c>
      <x:c r="F48" s="3"/>
      <x:c r="G48" s="3"/>
      <x:c r="H48" s="3"/>
      <x:c r="I48" s="3"/>
      <x:c r="J48" s="3"/>
      <x:c r="K48" s="3"/>
      <x:c r="L48" s="3"/>
    </x:row>
    <x:row r="49" ht="26" customHeight="1">
      <x:c r="A49" s="3" t="n">
        <x:v>223</x:v>
      </x:c>
      <x:c r="B49" s="14" t="n">
        <x:f>'校正統計'!$B$7*A49+'校正統計'!$B$8</x:f>
        <x:v>0.32859623705481256</x:v>
      </x:c>
      <x:c r="C49" s="14" t="n">
        <x:f>A49/'校正統計'!$B$9</x:f>
        <x:v>0.32945598577496443</x:v>
      </x:c>
      <x:c r="D49" s="3" t="str">
        <x:f>IF(COUNTIFS('逐張量測'!D48:D193,A49)&gt;0,"是","否")</x:f>
        <x:v>否</x:v>
      </x:c>
      <x:c r="E49" s="3" t="n">
        <x:f>COUNTIFS('逐張量測'!D48:D193,A49,'逐張量測'!B48:B193,"&lt;&gt;173_wang")</x:f>
        <x:v>0</x:v>
      </x:c>
      <x:c r="F49" s="3"/>
      <x:c r="G49" s="3"/>
      <x:c r="H49" s="3"/>
      <x:c r="I49" s="3"/>
      <x:c r="J49" s="3"/>
      <x:c r="K49" s="3"/>
      <x:c r="L49" s="3"/>
    </x:row>
    <x:row r="50" ht="26" customHeight="1">
      <x:c r="A50" s="3" t="n">
        <x:v>224</x:v>
      </x:c>
      <x:c r="B50" s="14" t="n">
        <x:f>'校正統計'!$B$7*A50+'校正統計'!$B$8</x:f>
        <x:v>0.3299708239091824</x:v>
      </x:c>
      <x:c r="C50" s="14" t="n">
        <x:f>A50/'校正統計'!$B$9</x:f>
        <x:v>0.33093336687709435</x:v>
      </x:c>
      <x:c r="D50" s="3" t="str">
        <x:f>IF(COUNTIFS('逐張量測'!D49:D194,A50)&gt;0,"是","否")</x:f>
        <x:v>否</x:v>
      </x:c>
      <x:c r="E50" s="3" t="n">
        <x:f>COUNTIFS('逐張量測'!D49:D194,A50,'逐張量測'!B49:B194,"&lt;&gt;173_wang")</x:f>
        <x:v>0</x:v>
      </x:c>
      <x:c r="F50" s="3"/>
      <x:c r="G50" s="3"/>
      <x:c r="H50" s="3"/>
      <x:c r="I50" s="3"/>
      <x:c r="J50" s="3"/>
      <x:c r="K50" s="3"/>
      <x:c r="L50" s="3"/>
    </x:row>
    <x:row r="51" ht="26" customHeight="1">
      <x:c r="A51" s="3" t="n">
        <x:v>225</x:v>
      </x:c>
      <x:c r="B51" s="14" t="n">
        <x:f>'校正統計'!$B$7*A51+'校正統計'!$B$8</x:f>
        <x:v>0.3313454107635522</x:v>
      </x:c>
      <x:c r="C51" s="14" t="n">
        <x:f>A51/'校正統計'!$B$9</x:f>
        <x:v>0.3324107479792242</x:v>
      </x:c>
      <x:c r="D51" s="3" t="str">
        <x:f>IF(COUNTIFS('逐張量測'!D50:D195,A51)&gt;0,"是","否")</x:f>
        <x:v>否</x:v>
      </x:c>
      <x:c r="E51" s="3" t="n">
        <x:f>COUNTIFS('逐張量測'!D50:D195,A51,'逐張量測'!B50:B195,"&lt;&gt;173_wang")</x:f>
        <x:v>0</x:v>
      </x:c>
      <x:c r="F51" s="3"/>
      <x:c r="G51" s="3"/>
      <x:c r="H51" s="3"/>
      <x:c r="I51" s="3"/>
      <x:c r="J51" s="3"/>
      <x:c r="K51" s="3"/>
      <x:c r="L51" s="3"/>
    </x:row>
    <x:row r="52" ht="26" customHeight="1">
      <x:c r="A52" s="3" t="n">
        <x:v>226</x:v>
      </x:c>
      <x:c r="B52" s="14" t="n">
        <x:f>'校正統計'!$B$7*A52+'校正統計'!$B$8</x:f>
        <x:v>0.33271999761792204</x:v>
      </x:c>
      <x:c r="C52" s="14" t="n">
        <x:f>A52/'校正統計'!$B$9</x:f>
        <x:v>0.3338881290813541</x:v>
      </x:c>
      <x:c r="D52" s="3" t="str">
        <x:f>IF(COUNTIFS('逐張量測'!D51:D196,A52)&gt;0,"是","否")</x:f>
        <x:v>否</x:v>
      </x:c>
      <x:c r="E52" s="3" t="n">
        <x:f>COUNTIFS('逐張量測'!D51:D196,A52,'逐張量測'!B51:B196,"&lt;&gt;173_wang")</x:f>
        <x:v>0</x:v>
      </x:c>
      <x:c r="F52" s="3"/>
      <x:c r="G52" s="3"/>
      <x:c r="H52" s="3"/>
      <x:c r="I52" s="3"/>
      <x:c r="J52" s="3"/>
      <x:c r="K52" s="3"/>
      <x:c r="L52" s="3"/>
    </x:row>
    <x:row r="53" ht="26" customHeight="1">
      <x:c r="A53" s="3" t="n">
        <x:v>227</x:v>
      </x:c>
      <x:c r="B53" s="14" t="n">
        <x:f>'校正統計'!$B$7*A53+'校正統計'!$B$8</x:f>
        <x:v>0.3340945844722919</x:v>
      </x:c>
      <x:c r="C53" s="14" t="n">
        <x:f>A53/'校正統計'!$B$9</x:f>
        <x:v>0.335365510183484</x:v>
      </x:c>
      <x:c r="D53" s="3" t="str">
        <x:f>IF(COUNTIFS('逐張量測'!D52:D197,A53)&gt;0,"是","否")</x:f>
        <x:v>否</x:v>
      </x:c>
      <x:c r="E53" s="3" t="n">
        <x:f>COUNTIFS('逐張量測'!D52:D197,A53,'逐張量測'!B52:B197,"&lt;&gt;173_wang")</x:f>
        <x:v>0</x:v>
      </x:c>
      <x:c r="F53" s="3"/>
      <x:c r="G53" s="3"/>
      <x:c r="H53" s="3"/>
      <x:c r="I53" s="3"/>
      <x:c r="J53" s="3"/>
      <x:c r="K53" s="3"/>
      <x:c r="L53" s="3"/>
    </x:row>
    <x:row r="54" ht="26" customHeight="1">
      <x:c r="A54" s="3" t="n">
        <x:v>228</x:v>
      </x:c>
      <x:c r="B54" s="14" t="n">
        <x:f>'校正統計'!$B$7*A54+'校正統計'!$B$8</x:f>
        <x:v>0.33546917132666176</x:v>
      </x:c>
      <x:c r="C54" s="14" t="n">
        <x:f>A54/'校正統計'!$B$9</x:f>
        <x:v>0.3368428912856139</x:v>
      </x:c>
      <x:c r="D54" s="3" t="str">
        <x:f>IF(COUNTIFS('逐張量測'!D53:D198,A54)&gt;0,"是","否")</x:f>
        <x:v>否</x:v>
      </x:c>
      <x:c r="E54" s="3" t="n">
        <x:f>COUNTIFS('逐張量測'!D53:D198,A54,'逐張量測'!B53:B198,"&lt;&gt;173_wang")</x:f>
        <x:v>0</x:v>
      </x:c>
      <x:c r="F54" s="3"/>
      <x:c r="G54" s="3"/>
      <x:c r="H54" s="3"/>
      <x:c r="I54" s="3"/>
      <x:c r="J54" s="3"/>
      <x:c r="K54" s="3"/>
      <x:c r="L54" s="3"/>
    </x:row>
    <x:row r="55" ht="26" customHeight="1">
      <x:c r="A55" s="3" t="n">
        <x:v>229</x:v>
      </x:c>
      <x:c r="B55" s="14" t="n">
        <x:f>'校正統計'!$B$7*A55+'校正統計'!$B$8</x:f>
        <x:v>0.3368437581810316</x:v>
      </x:c>
      <x:c r="C55" s="14" t="n">
        <x:f>A55/'校正統計'!$B$9</x:f>
        <x:v>0.33832027238774376</x:v>
      </x:c>
      <x:c r="D55" s="3" t="str">
        <x:f>IF(COUNTIFS('逐張量測'!D54:D199,A55)&gt;0,"是","否")</x:f>
        <x:v>否</x:v>
      </x:c>
      <x:c r="E55" s="3" t="n">
        <x:f>COUNTIFS('逐張量測'!D54:D199,A55,'逐張量測'!B54:B199,"&lt;&gt;173_wang")</x:f>
        <x:v>0</x:v>
      </x:c>
      <x:c r="F55" s="3"/>
      <x:c r="G55" s="3"/>
      <x:c r="H55" s="3"/>
      <x:c r="I55" s="3"/>
      <x:c r="J55" s="3"/>
      <x:c r="K55" s="3"/>
      <x:c r="L55" s="3"/>
    </x:row>
    <x:row r="56" ht="26" customHeight="1">
      <x:c r="A56" s="3" t="n">
        <x:v>230</x:v>
      </x:c>
      <x:c r="B56" s="14" t="n">
        <x:f>'校正統計'!$B$7*A56+'校正統計'!$B$8</x:f>
        <x:v>0.3382183450354014</x:v>
      </x:c>
      <x:c r="C56" s="14" t="n">
        <x:f>A56/'校正統計'!$B$9</x:f>
        <x:v>0.3397976534898736</x:v>
      </x:c>
      <x:c r="D56" s="3" t="str">
        <x:f>IF(COUNTIFS('逐張量測'!D55:D200,A56)&gt;0,"是","否")</x:f>
        <x:v>否</x:v>
      </x:c>
      <x:c r="E56" s="3" t="n">
        <x:f>COUNTIFS('逐張量測'!D55:D200,A56,'逐張量測'!B55:B200,"&lt;&gt;173_wang")</x:f>
        <x:v>0</x:v>
      </x:c>
      <x:c r="F56" s="3"/>
      <x:c r="G56" s="3"/>
      <x:c r="H56" s="3"/>
      <x:c r="I56" s="3"/>
      <x:c r="J56" s="3"/>
      <x:c r="K56" s="3"/>
      <x:c r="L56" s="3"/>
    </x:row>
    <x:row r="57" ht="26" customHeight="1">
      <x:c r="A57" s="3" t="n">
        <x:v>231</x:v>
      </x:c>
      <x:c r="B57" s="14" t="n">
        <x:f>'校正統計'!$B$7*A57+'校正統計'!$B$8</x:f>
        <x:v>0.33959293188977124</x:v>
      </x:c>
      <x:c r="C57" s="14" t="n">
        <x:f>A57/'校正統計'!$B$9</x:f>
        <x:v>0.34127503459200353</x:v>
      </x:c>
      <x:c r="D57" s="3" t="str">
        <x:f>IF(COUNTIFS('逐張量測'!D56:D201,A57)&gt;0,"是","否")</x:f>
        <x:v>否</x:v>
      </x:c>
      <x:c r="E57" s="3" t="n">
        <x:f>COUNTIFS('逐張量測'!D56:D201,A57,'逐張量測'!B56:B201,"&lt;&gt;173_wang")</x:f>
        <x:v>0</x:v>
      </x:c>
      <x:c r="F57" s="3"/>
      <x:c r="G57" s="3"/>
      <x:c r="H57" s="3"/>
      <x:c r="I57" s="3"/>
      <x:c r="J57" s="3"/>
      <x:c r="K57" s="3"/>
      <x:c r="L57" s="3"/>
    </x:row>
    <x:row r="58" ht="26" customHeight="1">
      <x:c r="A58" s="3" t="n">
        <x:v>232</x:v>
      </x:c>
      <x:c r="B58" s="14" t="n">
        <x:f>'校正統計'!$B$7*A58+'校正統計'!$B$8</x:f>
        <x:v>0.3409675187441411</x:v>
      </x:c>
      <x:c r="C58" s="14" t="n">
        <x:f>A58/'校正統計'!$B$9</x:f>
        <x:v>0.3427524156941334</x:v>
      </x:c>
      <x:c r="D58" s="3" t="str">
        <x:f>IF(COUNTIFS('逐張量測'!D57:D202,A58)&gt;0,"是","否")</x:f>
        <x:v>否</x:v>
      </x:c>
      <x:c r="E58" s="3" t="n">
        <x:f>COUNTIFS('逐張量測'!D57:D202,A58,'逐張量測'!B57:B202,"&lt;&gt;173_wang")</x:f>
        <x:v>0</x:v>
      </x:c>
      <x:c r="F58" s="3"/>
      <x:c r="G58" s="3"/>
      <x:c r="H58" s="3"/>
      <x:c r="I58" s="3"/>
      <x:c r="J58" s="3"/>
      <x:c r="K58" s="3"/>
      <x:c r="L58" s="3"/>
    </x:row>
    <x:row r="59" ht="26" customHeight="1">
      <x:c r="A59" s="3" t="n">
        <x:v>233</x:v>
      </x:c>
      <x:c r="B59" s="14" t="n">
        <x:f>'校正統計'!$B$7*A59+'校正統計'!$B$8</x:f>
        <x:v>0.34234210559851097</x:v>
      </x:c>
      <x:c r="C59" s="14" t="n">
        <x:f>A59/'校正統計'!$B$9</x:f>
        <x:v>0.3442297967962633</x:v>
      </x:c>
      <x:c r="D59" s="3" t="str">
        <x:f>IF(COUNTIFS('逐張量測'!D58:D203,A59)&gt;0,"是","否")</x:f>
        <x:v>否</x:v>
      </x:c>
      <x:c r="E59" s="3" t="n">
        <x:f>COUNTIFS('逐張量測'!D58:D203,A59,'逐張量測'!B58:B203,"&lt;&gt;173_wang")</x:f>
        <x:v>0</x:v>
      </x:c>
      <x:c r="F59" s="3"/>
      <x:c r="G59" s="3"/>
      <x:c r="H59" s="3"/>
      <x:c r="I59" s="3"/>
      <x:c r="J59" s="3"/>
      <x:c r="K59" s="3"/>
      <x:c r="L59" s="3"/>
    </x:row>
    <x:row r="60" ht="26" customHeight="1">
      <x:c r="A60" s="3" t="n">
        <x:v>234</x:v>
      </x:c>
      <x:c r="B60" s="14" t="n">
        <x:f>'校正統計'!$B$7*A60+'校正統計'!$B$8</x:f>
        <x:v>0.34371669245288083</x:v>
      </x:c>
      <x:c r="C60" s="14" t="n">
        <x:f>A60/'校正統計'!$B$9</x:f>
        <x:v>0.34570717789839317</x:v>
      </x:c>
      <x:c r="D60" s="3" t="str">
        <x:f>IF(COUNTIFS('逐張量測'!D59:D204,A60)&gt;0,"是","否")</x:f>
        <x:v>否</x:v>
      </x:c>
      <x:c r="E60" s="3" t="n">
        <x:f>COUNTIFS('逐張量測'!D59:D204,A60,'逐張量測'!B59:B204,"&lt;&gt;173_wang")</x:f>
        <x:v>0</x:v>
      </x:c>
      <x:c r="F60" s="3"/>
      <x:c r="G60" s="3"/>
      <x:c r="H60" s="3"/>
      <x:c r="I60" s="3"/>
      <x:c r="J60" s="3"/>
      <x:c r="K60" s="3"/>
      <x:c r="L60" s="3"/>
    </x:row>
    <x:row r="61" ht="26" customHeight="1">
      <x:c r="A61" s="3" t="n">
        <x:v>235</x:v>
      </x:c>
      <x:c r="B61" s="14" t="n">
        <x:f>'校正統計'!$B$7*A61+'校正統計'!$B$8</x:f>
        <x:v>0.3450912793072507</x:v>
      </x:c>
      <x:c r="C61" s="14" t="n">
        <x:f>A61/'校正統計'!$B$9</x:f>
        <x:v>0.3471845590005231</x:v>
      </x:c>
      <x:c r="D61" s="3" t="str">
        <x:f>IF(COUNTIFS('逐張量測'!D60:D205,A61)&gt;0,"是","否")</x:f>
        <x:v>否</x:v>
      </x:c>
      <x:c r="E61" s="3" t="n">
        <x:f>COUNTIFS('逐張量測'!D60:D205,A61,'逐張量測'!B60:B205,"&lt;&gt;173_wang")</x:f>
        <x:v>0</x:v>
      </x:c>
      <x:c r="F61" s="3"/>
      <x:c r="G61" s="3"/>
      <x:c r="H61" s="3"/>
      <x:c r="I61" s="3"/>
      <x:c r="J61" s="3"/>
      <x:c r="K61" s="3"/>
      <x:c r="L61" s="3"/>
    </x:row>
    <x:row r="62" ht="26" customHeight="1">
      <x:c r="A62" s="3" t="n">
        <x:v>236</x:v>
      </x:c>
      <x:c r="B62" s="14" t="n">
        <x:f>'校正統計'!$B$7*A62+'校正統計'!$B$8</x:f>
        <x:v>0.34646586616162045</x:v>
      </x:c>
      <x:c r="C62" s="14" t="n">
        <x:f>A62/'校正統計'!$B$9</x:f>
        <x:v>0.34866194010265295</x:v>
      </x:c>
      <x:c r="D62" s="3" t="str">
        <x:f>IF(COUNTIFS('逐張量測'!D61:D206,A62)&gt;0,"是","否")</x:f>
        <x:v>否</x:v>
      </x:c>
      <x:c r="E62" s="3" t="n">
        <x:f>COUNTIFS('逐張量測'!D61:D206,A62,'逐張量測'!B61:B206,"&lt;&gt;173_wang")</x:f>
        <x:v>0</x:v>
      </x:c>
      <x:c r="F62" s="3"/>
      <x:c r="G62" s="3"/>
      <x:c r="H62" s="3"/>
      <x:c r="I62" s="3"/>
      <x:c r="J62" s="3"/>
      <x:c r="K62" s="3"/>
      <x:c r="L62" s="3"/>
    </x:row>
    <x:row r="63" ht="26" customHeight="1">
      <x:c r="A63" s="3" t="n">
        <x:v>237</x:v>
      </x:c>
      <x:c r="B63" s="14" t="n">
        <x:f>'校正統計'!$B$7*A63+'校正統計'!$B$8</x:f>
        <x:v>0.3478404530159903</x:v>
      </x:c>
      <x:c r="C63" s="14" t="n">
        <x:f>A63/'校正統計'!$B$9</x:f>
        <x:v>0.35013932120478286</x:v>
      </x:c>
      <x:c r="D63" s="3" t="str">
        <x:f>IF(COUNTIFS('逐張量測'!D62:D207,A63)&gt;0,"是","否")</x:f>
        <x:v>否</x:v>
      </x:c>
      <x:c r="E63" s="3" t="n">
        <x:f>COUNTIFS('逐張量測'!D62:D207,A63,'逐張量測'!B62:B207,"&lt;&gt;173_wang")</x:f>
        <x:v>0</x:v>
      </x:c>
      <x:c r="F63" s="3"/>
      <x:c r="G63" s="3"/>
      <x:c r="H63" s="3"/>
      <x:c r="I63" s="3"/>
      <x:c r="J63" s="3"/>
      <x:c r="K63" s="3"/>
      <x:c r="L63" s="3"/>
    </x:row>
    <x:row r="64" ht="26" customHeight="1">
      <x:c r="A64" s="3" t="n">
        <x:v>238</x:v>
      </x:c>
      <x:c r="B64" s="14" t="n">
        <x:f>'校正統計'!$B$7*A64+'校正統計'!$B$8</x:f>
        <x:v>0.3492150398703602</x:v>
      </x:c>
      <x:c r="C64" s="14" t="n">
        <x:f>A64/'校正統計'!$B$9</x:f>
        <x:v>0.3516167023069127</x:v>
      </x:c>
      <x:c r="D64" s="3" t="str">
        <x:f>IF(COUNTIFS('逐張量測'!D63:D208,A64)&gt;0,"是","否")</x:f>
        <x:v>否</x:v>
      </x:c>
      <x:c r="E64" s="3" t="n">
        <x:f>COUNTIFS('逐張量測'!D63:D208,A64,'逐張量測'!B63:B208,"&lt;&gt;173_wang")</x:f>
        <x:v>0</x:v>
      </x:c>
      <x:c r="F64" s="3"/>
      <x:c r="G64" s="3"/>
      <x:c r="H64" s="3"/>
      <x:c r="I64" s="3"/>
      <x:c r="J64" s="3"/>
      <x:c r="K64" s="3"/>
      <x:c r="L64" s="3"/>
    </x:row>
    <x:row r="65" ht="26" customHeight="1">
      <x:c r="A65" s="3" t="n">
        <x:v>239</x:v>
      </x:c>
      <x:c r="B65" s="14" t="n">
        <x:f>'校正統計'!$B$7*A65+'校正統計'!$B$8</x:f>
        <x:v>0.35058962672473004</x:v>
      </x:c>
      <x:c r="C65" s="14" t="n">
        <x:f>A65/'校正統計'!$B$9</x:f>
        <x:v>0.35309408340904264</x:v>
      </x:c>
      <x:c r="D65" s="3" t="str">
        <x:f>IF(COUNTIFS('逐張量測'!D64:D209,A65)&gt;0,"是","否")</x:f>
        <x:v>否</x:v>
      </x:c>
      <x:c r="E65" s="3" t="n">
        <x:f>COUNTIFS('逐張量測'!D64:D209,A65,'逐張量測'!B64:B209,"&lt;&gt;173_wang")</x:f>
        <x:v>0</x:v>
      </x:c>
      <x:c r="F65" s="3"/>
      <x:c r="G65" s="3"/>
      <x:c r="H65" s="3"/>
      <x:c r="I65" s="3"/>
      <x:c r="J65" s="3"/>
      <x:c r="K65" s="3"/>
      <x:c r="L65" s="3"/>
    </x:row>
    <x:row r="66" ht="26" customHeight="1">
      <x:c r="A66" s="3" t="n">
        <x:v>240</x:v>
      </x:c>
      <x:c r="B66" s="14" t="n">
        <x:f>'校正統計'!$B$7*A66+'校正統計'!$B$8</x:f>
        <x:v>0.3519642135790999</x:v>
      </x:c>
      <x:c r="C66" s="14" t="n">
        <x:f>A66/'校正統計'!$B$9</x:f>
        <x:v>0.3545714645111725</x:v>
      </x:c>
      <x:c r="D66" s="3" t="str">
        <x:f>IF(COUNTIFS('逐張量測'!D65:D210,A66)&gt;0,"是","否")</x:f>
        <x:v>是</x:v>
      </x:c>
      <x:c r="E66" s="3" t="n">
        <x:f>COUNTIFS('逐張量測'!D65:D210,A66,'逐張量測'!B65:B210,"&lt;&gt;173_wang")</x:f>
        <x:v>15</x:v>
      </x:c>
      <x:c r="F66" s="3"/>
      <x:c r="G66" s="3"/>
      <x:c r="H66" s="3"/>
      <x:c r="I66" s="3"/>
      <x:c r="J66" s="3"/>
      <x:c r="K66" s="3"/>
      <x:c r="L66" s="3"/>
    </x:row>
    <x:row r="67" ht="26" customHeight="1">
      <x:c r="A67" s="3" t="n">
        <x:v>241</x:v>
      </x:c>
      <x:c r="B67" s="14" t="n">
        <x:f>'校正統計'!$B$7*A67+'校正統計'!$B$8</x:f>
        <x:v>0.35333880043346966</x:v>
      </x:c>
      <x:c r="C67" s="14" t="n">
        <x:f>A67/'校正統計'!$B$9</x:f>
        <x:v>0.3560488456133024</x:v>
      </x:c>
      <x:c r="D67" s="3" t="str">
        <x:f>IF(COUNTIFS('逐張量測'!D66:D211,A67)&gt;0,"是","否")</x:f>
        <x:v>否</x:v>
      </x:c>
      <x:c r="E67" s="3" t="n">
        <x:f>COUNTIFS('逐張量測'!D66:D211,A67,'逐張量測'!B66:B211,"&lt;&gt;173_wang")</x:f>
        <x:v>0</x:v>
      </x:c>
      <x:c r="F67" s="3"/>
      <x:c r="G67" s="3"/>
      <x:c r="H67" s="3"/>
      <x:c r="I67" s="3"/>
      <x:c r="J67" s="3"/>
      <x:c r="K67" s="3"/>
      <x:c r="L67" s="3"/>
    </x:row>
    <x:row r="68" ht="26" customHeight="1">
      <x:c r="A68" s="3" t="n">
        <x:v>242</x:v>
      </x:c>
      <x:c r="B68" s="14" t="n">
        <x:f>'校正統計'!$B$7*A68+'校正統計'!$B$8</x:f>
        <x:v>0.3547133872878395</x:v>
      </x:c>
      <x:c r="C68" s="14" t="n">
        <x:f>A68/'校正統計'!$B$9</x:f>
        <x:v>0.35752622671543227</x:v>
      </x:c>
      <x:c r="D68" s="3" t="str">
        <x:f>IF(COUNTIFS('逐張量測'!D67:D212,A68)&gt;0,"是","否")</x:f>
        <x:v>否</x:v>
      </x:c>
      <x:c r="E68" s="3" t="n">
        <x:f>COUNTIFS('逐張量測'!D67:D212,A68,'逐張量測'!B67:B212,"&lt;&gt;173_wang")</x:f>
        <x:v>0</x:v>
      </x:c>
      <x:c r="F68" s="3"/>
      <x:c r="G68" s="3"/>
      <x:c r="H68" s="3"/>
      <x:c r="I68" s="3"/>
      <x:c r="J68" s="3"/>
      <x:c r="K68" s="3"/>
      <x:c r="L68" s="3"/>
    </x:row>
    <x:row r="69" ht="26" customHeight="1">
      <x:c r="A69" s="3" t="n">
        <x:v>243</x:v>
      </x:c>
      <x:c r="B69" s="14" t="n">
        <x:f>'校正統計'!$B$7*A69+'校正統計'!$B$8</x:f>
        <x:v>0.3560879741422094</x:v>
      </x:c>
      <x:c r="C69" s="14" t="n">
        <x:f>A69/'校正統計'!$B$9</x:f>
        <x:v>0.35900360781756213</x:v>
      </x:c>
      <x:c r="D69" s="3" t="str">
        <x:f>IF(COUNTIFS('逐張量測'!D68:D213,A69)&gt;0,"是","否")</x:f>
        <x:v>否</x:v>
      </x:c>
      <x:c r="E69" s="3" t="n">
        <x:f>COUNTIFS('逐張量測'!D68:D213,A69,'逐張量測'!B68:B213,"&lt;&gt;173_wang")</x:f>
        <x:v>0</x:v>
      </x:c>
      <x:c r="F69" s="3"/>
      <x:c r="G69" s="3"/>
      <x:c r="H69" s="3"/>
      <x:c r="I69" s="3"/>
      <x:c r="J69" s="3"/>
      <x:c r="K69" s="3"/>
      <x:c r="L69" s="3"/>
    </x:row>
    <x:row r="70" ht="26" customHeight="1">
      <x:c r="A70" s="3" t="n">
        <x:v>244</x:v>
      </x:c>
      <x:c r="B70" s="14" t="n">
        <x:f>'校正統計'!$B$7*A70+'校正統計'!$B$8</x:f>
        <x:v>0.35746256099657925</x:v>
      </x:c>
      <x:c r="C70" s="14" t="n">
        <x:f>A70/'校正統計'!$B$9</x:f>
        <x:v>0.36048098891969205</x:v>
      </x:c>
      <x:c r="D70" s="3" t="str">
        <x:f>IF(COUNTIFS('逐張量測'!D69:D214,A70)&gt;0,"是","否")</x:f>
        <x:v>否</x:v>
      </x:c>
      <x:c r="E70" s="3" t="n">
        <x:f>COUNTIFS('逐張量測'!D69:D214,A70,'逐張量測'!B69:B214,"&lt;&gt;173_wang")</x:f>
        <x:v>0</x:v>
      </x:c>
      <x:c r="F70" s="3"/>
      <x:c r="G70" s="3"/>
      <x:c r="H70" s="3"/>
      <x:c r="I70" s="3"/>
      <x:c r="J70" s="3"/>
      <x:c r="K70" s="3"/>
      <x:c r="L70" s="3"/>
    </x:row>
    <x:row r="71" ht="26" customHeight="1">
      <x:c r="A71" s="3" t="n">
        <x:v>245</x:v>
      </x:c>
      <x:c r="B71" s="14" t="n">
        <x:f>'校正統計'!$B$7*A71+'校正統計'!$B$8</x:f>
        <x:v>0.3588371478509491</x:v>
      </x:c>
      <x:c r="C71" s="14" t="n">
        <x:f>A71/'校正統計'!$B$9</x:f>
        <x:v>0.3619583700218219</x:v>
      </x:c>
      <x:c r="D71" s="3" t="str">
        <x:f>IF(COUNTIFS('逐張量測'!D70:D215,A71)&gt;0,"是","否")</x:f>
        <x:v>否</x:v>
      </x:c>
      <x:c r="E71" s="3" t="n">
        <x:f>COUNTIFS('逐張量測'!D70:D215,A71,'逐張量測'!B70:B215,"&lt;&gt;173_wang")</x:f>
        <x:v>0</x:v>
      </x:c>
      <x:c r="F71" s="3"/>
      <x:c r="G71" s="3"/>
      <x:c r="H71" s="3"/>
      <x:c r="I71" s="3"/>
      <x:c r="J71" s="3"/>
      <x:c r="K71" s="3"/>
      <x:c r="L71" s="3"/>
    </x:row>
    <x:row r="72" ht="26" customHeight="1">
      <x:c r="A72" s="3" t="n">
        <x:v>246</x:v>
      </x:c>
      <x:c r="B72" s="14" t="n">
        <x:f>'校正統計'!$B$7*A72+'校正統計'!$B$8</x:f>
        <x:v>0.360211734705319</x:v>
      </x:c>
      <x:c r="C72" s="14" t="n">
        <x:f>A72/'校正統計'!$B$9</x:f>
        <x:v>0.3634357511239518</x:v>
      </x:c>
      <x:c r="D72" s="3" t="str">
        <x:f>IF(COUNTIFS('逐張量測'!D71:D216,A72)&gt;0,"是","否")</x:f>
        <x:v>否</x:v>
      </x:c>
      <x:c r="E72" s="3" t="n">
        <x:f>COUNTIFS('逐張量測'!D71:D216,A72,'逐張量測'!B71:B216,"&lt;&gt;173_wang")</x:f>
        <x:v>0</x:v>
      </x:c>
      <x:c r="F72" s="3"/>
      <x:c r="G72" s="3"/>
      <x:c r="H72" s="3"/>
      <x:c r="I72" s="3"/>
      <x:c r="J72" s="3"/>
      <x:c r="K72" s="3"/>
      <x:c r="L72" s="3"/>
    </x:row>
    <x:row r="73" ht="26" customHeight="1">
      <x:c r="A73" s="3" t="n">
        <x:v>247</x:v>
      </x:c>
      <x:c r="B73" s="14" t="n">
        <x:f>'校正統計'!$B$7*A73+'校正統計'!$B$8</x:f>
        <x:v>0.36158632155968873</x:v>
      </x:c>
      <x:c r="C73" s="14" t="n">
        <x:f>A73/'校正統計'!$B$9</x:f>
        <x:v>0.3649131322260817</x:v>
      </x:c>
      <x:c r="D73" s="3" t="str">
        <x:f>IF(COUNTIFS('逐張量測'!D72:D217,A73)&gt;0,"是","否")</x:f>
        <x:v>否</x:v>
      </x:c>
      <x:c r="E73" s="3" t="n">
        <x:f>COUNTIFS('逐張量測'!D72:D217,A73,'逐張量測'!B72:B217,"&lt;&gt;173_wang")</x:f>
        <x:v>0</x:v>
      </x:c>
      <x:c r="F73" s="3"/>
      <x:c r="G73" s="3"/>
      <x:c r="H73" s="3"/>
      <x:c r="I73" s="3"/>
      <x:c r="J73" s="3"/>
      <x:c r="K73" s="3"/>
      <x:c r="L73" s="3"/>
    </x:row>
    <x:row r="74" ht="26" customHeight="1">
      <x:c r="A74" s="3" t="n">
        <x:v>248</x:v>
      </x:c>
      <x:c r="B74" s="14" t="n">
        <x:f>'校正統計'!$B$7*A74+'校正統計'!$B$8</x:f>
        <x:v>0.3629609084140586</x:v>
      </x:c>
      <x:c r="C74" s="14" t="n">
        <x:f>A74/'校正統計'!$B$9</x:f>
        <x:v>0.3663905133282116</x:v>
      </x:c>
      <x:c r="D74" s="3" t="str">
        <x:f>IF(COUNTIFS('逐張量測'!D73:D218,A74)&gt;0,"是","否")</x:f>
        <x:v>否</x:v>
      </x:c>
      <x:c r="E74" s="3" t="n">
        <x:f>COUNTIFS('逐張量測'!D73:D218,A74,'逐張量測'!B73:B218,"&lt;&gt;173_wang")</x:f>
        <x:v>0</x:v>
      </x:c>
      <x:c r="F74" s="3"/>
      <x:c r="G74" s="3"/>
      <x:c r="H74" s="3"/>
      <x:c r="I74" s="3"/>
      <x:c r="J74" s="3"/>
      <x:c r="K74" s="3"/>
      <x:c r="L74" s="3"/>
    </x:row>
    <x:row r="75" ht="26" customHeight="1">
      <x:c r="A75" s="3" t="n">
        <x:v>249</x:v>
      </x:c>
      <x:c r="B75" s="14" t="n">
        <x:f>'校正統計'!$B$7*A75+'校正統計'!$B$8</x:f>
        <x:v>0.36433549526842846</x:v>
      </x:c>
      <x:c r="C75" s="14" t="n">
        <x:f>A75/'校正統計'!$B$9</x:f>
        <x:v>0.36786789443034146</x:v>
      </x:c>
      <x:c r="D75" s="3" t="str">
        <x:f>IF(COUNTIFS('逐張量測'!D74:D219,A75)&gt;0,"是","否")</x:f>
        <x:v>否</x:v>
      </x:c>
      <x:c r="E75" s="3" t="n">
        <x:f>COUNTIFS('逐張量測'!D74:D219,A75,'逐張量測'!B74:B219,"&lt;&gt;173_wang")</x:f>
        <x:v>0</x:v>
      </x:c>
      <x:c r="F75" s="3"/>
      <x:c r="G75" s="3"/>
      <x:c r="H75" s="3"/>
      <x:c r="I75" s="3"/>
      <x:c r="J75" s="3"/>
      <x:c r="K75" s="3"/>
      <x:c r="L75" s="3"/>
    </x:row>
    <x:row r="76" ht="26" customHeight="1">
      <x:c r="A76" s="3" t="n">
        <x:v>250</x:v>
      </x:c>
      <x:c r="B76" s="14" t="n">
        <x:f>'校正統計'!$B$7*A76+'校正統計'!$B$8</x:f>
        <x:v>0.3657100821227983</x:v>
      </x:c>
      <x:c r="C76" s="14" t="n">
        <x:f>A76/'校正統計'!$B$9</x:f>
        <x:v>0.3693452755324714</x:v>
      </x:c>
      <x:c r="D76" s="3" t="str">
        <x:f>IF(COUNTIFS('逐張量測'!D75:D220,A76)&gt;0,"是","否")</x:f>
        <x:v>是</x:v>
      </x:c>
      <x:c r="E76" s="3" t="n">
        <x:f>COUNTIFS('逐張量測'!D75:D220,A76,'逐張量測'!B75:B220,"&lt;&gt;173_wang")</x:f>
        <x:v>0</x:v>
      </x:c>
      <x:c r="F76" s="3"/>
      <x:c r="G76" s="3"/>
      <x:c r="H76" s="3"/>
      <x:c r="I76" s="3"/>
      <x:c r="J76" s="3"/>
      <x:c r="K76" s="3"/>
      <x:c r="L76" s="3"/>
    </x:row>
    <x:row r="77" ht="26" customHeight="1">
      <x:c r="A77" s="3" t="n">
        <x:v>251</x:v>
      </x:c>
      <x:c r="B77" s="14" t="n">
        <x:f>'校正統計'!$B$7*A77+'校正統計'!$B$8</x:f>
        <x:v>0.3670846689771682</x:v>
      </x:c>
      <x:c r="C77" s="14" t="n">
        <x:f>A77/'校正統計'!$B$9</x:f>
        <x:v>0.37082265663460123</x:v>
      </x:c>
      <x:c r="D77" s="3" t="str">
        <x:f>IF(COUNTIFS('逐張量測'!D76:D221,A77)&gt;0,"是","否")</x:f>
        <x:v>否</x:v>
      </x:c>
      <x:c r="E77" s="3" t="n">
        <x:f>COUNTIFS('逐張量測'!D76:D221,A77,'逐張量測'!B76:B221,"&lt;&gt;173_wang")</x:f>
        <x:v>0</x:v>
      </x:c>
      <x:c r="F77" s="3"/>
      <x:c r="G77" s="3"/>
      <x:c r="H77" s="3"/>
      <x:c r="I77" s="3"/>
      <x:c r="J77" s="3"/>
      <x:c r="K77" s="3"/>
      <x:c r="L77" s="3"/>
    </x:row>
    <x:row r="78" ht="26" customHeight="1">
      <x:c r="A78" s="3" t="n">
        <x:v>252</x:v>
      </x:c>
      <x:c r="B78" s="14" t="n">
        <x:f>'校正統計'!$B$7*A78+'校正統計'!$B$8</x:f>
        <x:v>0.36845925583153794</x:v>
      </x:c>
      <x:c r="C78" s="14" t="n">
        <x:f>A78/'校正統計'!$B$9</x:f>
        <x:v>0.37230003773673115</x:v>
      </x:c>
      <x:c r="D78" s="3" t="str">
        <x:f>IF(COUNTIFS('逐張量測'!D77:D222,A78)&gt;0,"是","否")</x:f>
        <x:v>否</x:v>
      </x:c>
      <x:c r="E78" s="3" t="n">
        <x:f>COUNTIFS('逐張量測'!D77:D222,A78,'逐張量測'!B77:B222,"&lt;&gt;173_wang")</x:f>
        <x:v>0</x:v>
      </x:c>
      <x:c r="F78" s="3"/>
      <x:c r="G78" s="3"/>
      <x:c r="H78" s="3"/>
      <x:c r="I78" s="3"/>
      <x:c r="J78" s="3"/>
      <x:c r="K78" s="3"/>
      <x:c r="L78" s="3"/>
    </x:row>
    <x:row r="79" ht="26" customHeight="1">
      <x:c r="A79" s="3" t="n">
        <x:v>253</x:v>
      </x:c>
      <x:c r="B79" s="14" t="n">
        <x:f>'校正統計'!$B$7*A79+'校正統計'!$B$8</x:f>
        <x:v>0.3698338426859078</x:v>
      </x:c>
      <x:c r="C79" s="14" t="n">
        <x:f>A79/'校正統計'!$B$9</x:f>
        <x:v>0.373777418838861</x:v>
      </x:c>
      <x:c r="D79" s="3" t="str">
        <x:f>IF(COUNTIFS('逐張量測'!D78:D223,A79)&gt;0,"是","否")</x:f>
        <x:v>否</x:v>
      </x:c>
      <x:c r="E79" s="3" t="n">
        <x:f>COUNTIFS('逐張量測'!D78:D223,A79,'逐張量測'!B78:B223,"&lt;&gt;173_wang")</x:f>
        <x:v>0</x:v>
      </x:c>
      <x:c r="F79" s="3"/>
      <x:c r="G79" s="3"/>
      <x:c r="H79" s="3"/>
      <x:c r="I79" s="3"/>
      <x:c r="J79" s="3"/>
      <x:c r="K79" s="3"/>
      <x:c r="L79" s="3"/>
    </x:row>
    <x:row r="80" ht="26" customHeight="1">
      <x:c r="A80" s="3" t="n">
        <x:v>254</x:v>
      </x:c>
      <x:c r="B80" s="14" t="n">
        <x:f>'校正統計'!$B$7*A80+'校正統計'!$B$8</x:f>
        <x:v>0.37120842954027766</x:v>
      </x:c>
      <x:c r="C80" s="14" t="n">
        <x:f>A80/'校正統計'!$B$9</x:f>
        <x:v>0.3752547999409909</x:v>
      </x:c>
      <x:c r="D80" s="3" t="str">
        <x:f>IF(COUNTIFS('逐張量測'!D79:D224,A80)&gt;0,"是","否")</x:f>
        <x:v>否</x:v>
      </x:c>
      <x:c r="E80" s="3" t="n">
        <x:f>COUNTIFS('逐張量測'!D79:D224,A80,'逐張量測'!B79:B224,"&lt;&gt;173_wang")</x:f>
        <x:v>0</x:v>
      </x:c>
      <x:c r="F80" s="3"/>
      <x:c r="G80" s="3"/>
      <x:c r="H80" s="3"/>
      <x:c r="I80" s="3"/>
      <x:c r="J80" s="3"/>
      <x:c r="K80" s="3"/>
      <x:c r="L80" s="3"/>
    </x:row>
    <x:row r="81" ht="26" customHeight="1">
      <x:c r="A81" s="3" t="n">
        <x:v>255</x:v>
      </x:c>
      <x:c r="B81" s="14" t="n">
        <x:f>'校正統計'!$B$7*A81+'校正統計'!$B$8</x:f>
        <x:v>0.3725830163946475</x:v>
      </x:c>
      <x:c r="C81" s="14" t="n">
        <x:f>A81/'校正統計'!$B$9</x:f>
        <x:v>0.3767321810431208</x:v>
      </x:c>
      <x:c r="D81" s="3" t="str">
        <x:f>IF(COUNTIFS('逐張量測'!D80:D225,A81)&gt;0,"是","否")</x:f>
        <x:v>否</x:v>
      </x:c>
      <x:c r="E81" s="3" t="n">
        <x:f>COUNTIFS('逐張量測'!D80:D225,A81,'逐張量測'!B80:B225,"&lt;&gt;173_wang")</x:f>
        <x:v>0</x:v>
      </x:c>
      <x:c r="F81" s="3"/>
      <x:c r="G81" s="3"/>
      <x:c r="H81" s="3"/>
      <x:c r="I81" s="3"/>
      <x:c r="J81" s="3"/>
      <x:c r="K81" s="3"/>
      <x:c r="L81" s="3"/>
    </x:row>
    <x:row r="82" ht="26" customHeight="1">
      <x:c r="A82" s="3" t="n">
        <x:v>256</x:v>
      </x:c>
      <x:c r="B82" s="14" t="n">
        <x:f>'校正統計'!$B$7*A82+'校正統計'!$B$8</x:f>
        <x:v>0.3739576032490174</x:v>
      </x:c>
      <x:c r="C82" s="14" t="n">
        <x:f>A82/'校正統計'!$B$9</x:f>
        <x:v>0.37820956214525064</x:v>
      </x:c>
      <x:c r="D82" s="3" t="str">
        <x:f>IF(COUNTIFS('逐張量測'!D81:D226,A82)&gt;0,"是","否")</x:f>
        <x:v>否</x:v>
      </x:c>
      <x:c r="E82" s="3" t="n">
        <x:f>COUNTIFS('逐張量測'!D81:D226,A82,'逐張量測'!B81:B226,"&lt;&gt;173_wang")</x:f>
        <x:v>0</x:v>
      </x:c>
      <x:c r="F82" s="3"/>
      <x:c r="G82" s="3"/>
      <x:c r="H82" s="3"/>
      <x:c r="I82" s="3"/>
      <x:c r="J82" s="3"/>
      <x:c r="K82" s="3"/>
      <x:c r="L82" s="3"/>
    </x:row>
    <x:row r="83" ht="26" customHeight="1">
      <x:c r="A83" s="3" t="n">
        <x:v>257</x:v>
      </x:c>
      <x:c r="B83" s="14" t="n">
        <x:f>'校正統計'!$B$7*A83+'校正統計'!$B$8</x:f>
        <x:v>0.37533219010338725</x:v>
      </x:c>
      <x:c r="C83" s="14" t="n">
        <x:f>A83/'校正統計'!$B$9</x:f>
        <x:v>0.37968694324738056</x:v>
      </x:c>
      <x:c r="D83" s="3" t="str">
        <x:f>IF(COUNTIFS('逐張量測'!D82:D227,A83)&gt;0,"是","否")</x:f>
        <x:v>否</x:v>
      </x:c>
      <x:c r="E83" s="3" t="n">
        <x:f>COUNTIFS('逐張量測'!D82:D227,A83,'逐張量測'!B82:B227,"&lt;&gt;173_wang")</x:f>
        <x:v>0</x:v>
      </x:c>
      <x:c r="F83" s="3"/>
      <x:c r="G83" s="3"/>
      <x:c r="H83" s="3"/>
      <x:c r="I83" s="3"/>
      <x:c r="J83" s="3"/>
      <x:c r="K83" s="3"/>
      <x:c r="L83" s="3"/>
    </x:row>
    <x:row r="84" ht="26" customHeight="1">
      <x:c r="A84" s="3" t="n">
        <x:v>258</x:v>
      </x:c>
      <x:c r="B84" s="14" t="n">
        <x:f>'校正統計'!$B$7*A84+'校正統計'!$B$8</x:f>
        <x:v>0.376706776957757</x:v>
      </x:c>
      <x:c r="C84" s="14" t="n">
        <x:f>A84/'校正統計'!$B$9</x:f>
        <x:v>0.3811643243495104</x:v>
      </x:c>
      <x:c r="D84" s="3" t="str">
        <x:f>IF(COUNTIFS('逐張量測'!D83:D228,A84)&gt;0,"是","否")</x:f>
        <x:v>否</x:v>
      </x:c>
      <x:c r="E84" s="3" t="n">
        <x:f>COUNTIFS('逐張量測'!D83:D228,A84,'逐張量測'!B83:B228,"&lt;&gt;173_wang")</x:f>
        <x:v>0</x:v>
      </x:c>
      <x:c r="F84" s="3"/>
      <x:c r="G84" s="3"/>
      <x:c r="H84" s="3"/>
      <x:c r="I84" s="3"/>
      <x:c r="J84" s="3"/>
      <x:c r="K84" s="3"/>
      <x:c r="L84" s="3"/>
    </x:row>
    <x:row r="85" ht="26" customHeight="1">
      <x:c r="A85" s="3" t="n">
        <x:v>259</x:v>
      </x:c>
      <x:c r="B85" s="14" t="n">
        <x:f>'校正統計'!$B$7*A85+'校正統計'!$B$8</x:f>
        <x:v>0.37808136381212687</x:v>
      </x:c>
      <x:c r="C85" s="14" t="n">
        <x:f>A85/'校正統計'!$B$9</x:f>
        <x:v>0.38264170545164033</x:v>
      </x:c>
      <x:c r="D85" s="3" t="str">
        <x:f>IF(COUNTIFS('逐張量測'!D84:D229,A85)&gt;0,"是","否")</x:f>
        <x:v>否</x:v>
      </x:c>
      <x:c r="E85" s="3" t="n">
        <x:f>COUNTIFS('逐張量測'!D84:D229,A85,'逐張量測'!B84:B229,"&lt;&gt;173_wang")</x:f>
        <x:v>0</x:v>
      </x:c>
      <x:c r="F85" s="3"/>
      <x:c r="G85" s="3"/>
      <x:c r="H85" s="3"/>
      <x:c r="I85" s="3"/>
      <x:c r="J85" s="3"/>
      <x:c r="K85" s="3"/>
      <x:c r="L85" s="3"/>
    </x:row>
    <x:row r="86" ht="26" customHeight="1">
      <x:c r="A86" s="3" t="n">
        <x:v>260</x:v>
      </x:c>
      <x:c r="B86" s="14" t="n">
        <x:f>'校正統計'!$B$7*A86+'校正統計'!$B$8</x:f>
        <x:v>0.37945595066649673</x:v>
      </x:c>
      <x:c r="C86" s="14" t="n">
        <x:f>A86/'校正統計'!$B$9</x:f>
        <x:v>0.3841190865537702</x:v>
      </x:c>
      <x:c r="D86" s="3" t="str">
        <x:f>IF(COUNTIFS('逐張量測'!D85:D230,A86)&gt;0,"是","否")</x:f>
        <x:v>是</x:v>
      </x:c>
      <x:c r="E86" s="3" t="n">
        <x:f>COUNTIFS('逐張量測'!D85:D230,A86,'逐張量測'!B85:B230,"&lt;&gt;173_wang")</x:f>
        <x:v>7</x:v>
      </x:c>
      <x:c r="F86" s="3"/>
      <x:c r="G86" s="3"/>
      <x:c r="H86" s="3"/>
      <x:c r="I86" s="3"/>
      <x:c r="J86" s="3"/>
      <x:c r="K86" s="3"/>
      <x:c r="L86" s="3"/>
    </x:row>
    <x:row r="87" ht="26" customHeight="1">
      <x:c r="A87" s="3" t="n">
        <x:v>261</x:v>
      </x:c>
      <x:c r="B87" s="14" t="n">
        <x:f>'校正統計'!$B$7*A87+'校正統計'!$B$8</x:f>
        <x:v>0.3808305375208666</x:v>
      </x:c>
      <x:c r="C87" s="14" t="n">
        <x:f>A87/'校正統計'!$B$9</x:f>
        <x:v>0.3855964676559001</x:v>
      </x:c>
      <x:c r="D87" s="3" t="str">
        <x:f>IF(COUNTIFS('逐張量測'!D86:D231,A87)&gt;0,"是","否")</x:f>
        <x:v>否</x:v>
      </x:c>
      <x:c r="E87" s="3" t="n">
        <x:f>COUNTIFS('逐張量測'!D86:D231,A87,'逐張量測'!B86:B231,"&lt;&gt;173_wang")</x:f>
        <x:v>0</x:v>
      </x:c>
      <x:c r="F87" s="3"/>
      <x:c r="G87" s="3"/>
      <x:c r="H87" s="3"/>
      <x:c r="I87" s="3"/>
      <x:c r="J87" s="3"/>
      <x:c r="K87" s="3"/>
      <x:c r="L87" s="3"/>
    </x:row>
    <x:row r="88" ht="26" customHeight="1">
      <x:c r="A88" s="3" t="n">
        <x:v>262</x:v>
      </x:c>
      <x:c r="B88" s="14" t="n">
        <x:f>'校正統計'!$B$7*A88+'校正統計'!$B$8</x:f>
        <x:v>0.38220512437523646</x:v>
      </x:c>
      <x:c r="C88" s="14" t="n">
        <x:f>A88/'校正統計'!$B$9</x:f>
        <x:v>0.38707384875802997</x:v>
      </x:c>
      <x:c r="D88" s="3" t="str">
        <x:f>IF(COUNTIFS('逐張量測'!D87:D232,A88)&gt;0,"是","否")</x:f>
        <x:v>否</x:v>
      </x:c>
      <x:c r="E88" s="3" t="n">
        <x:f>COUNTIFS('逐張量測'!D87:D232,A88,'逐張量測'!B87:B232,"&lt;&gt;173_wang")</x:f>
        <x:v>0</x:v>
      </x:c>
      <x:c r="F88" s="3"/>
      <x:c r="G88" s="3"/>
      <x:c r="H88" s="3"/>
      <x:c r="I88" s="3"/>
      <x:c r="J88" s="3"/>
      <x:c r="K88" s="3"/>
      <x:c r="L88" s="3"/>
    </x:row>
    <x:row r="89" ht="26" customHeight="1">
      <x:c r="A89" s="3" t="n">
        <x:v>263</x:v>
      </x:c>
      <x:c r="B89" s="14" t="n">
        <x:f>'校正統計'!$B$7*A89+'校正統計'!$B$8</x:f>
        <x:v>0.3835797112296062</x:v>
      </x:c>
      <x:c r="C89" s="14" t="n">
        <x:f>A89/'校正統計'!$B$9</x:f>
        <x:v>0.3885512298601599</x:v>
      </x:c>
      <x:c r="D89" s="3" t="str">
        <x:f>IF(COUNTIFS('逐張量測'!D88:D233,A89)&gt;0,"是","否")</x:f>
        <x:v>否</x:v>
      </x:c>
      <x:c r="E89" s="3" t="n">
        <x:f>COUNTIFS('逐張量測'!D88:D233,A89,'逐張量測'!B88:B233,"&lt;&gt;173_wang")</x:f>
        <x:v>0</x:v>
      </x:c>
      <x:c r="F89" s="3"/>
      <x:c r="G89" s="3"/>
      <x:c r="H89" s="3"/>
      <x:c r="I89" s="3"/>
      <x:c r="J89" s="3"/>
      <x:c r="K89" s="3"/>
      <x:c r="L89" s="3"/>
    </x:row>
    <x:row r="90" ht="26" customHeight="1">
      <x:c r="A90" s="3" t="n">
        <x:v>264</x:v>
      </x:c>
      <x:c r="B90" s="14" t="n">
        <x:f>'校正統計'!$B$7*A90+'校正統計'!$B$8</x:f>
        <x:v>0.3849542980839761</x:v>
      </x:c>
      <x:c r="C90" s="14" t="n">
        <x:f>A90/'校正統計'!$B$9</x:f>
        <x:v>0.39002861096228975</x:v>
      </x:c>
      <x:c r="D90" s="3" t="str">
        <x:f>IF(COUNTIFS('逐張量測'!D89:D234,A90)&gt;0,"是","否")</x:f>
        <x:v>否</x:v>
      </x:c>
      <x:c r="E90" s="3" t="n">
        <x:f>COUNTIFS('逐張量測'!D89:D234,A90,'逐張量測'!B89:B234,"&lt;&gt;173_wang")</x:f>
        <x:v>0</x:v>
      </x:c>
      <x:c r="F90" s="3"/>
      <x:c r="G90" s="3"/>
      <x:c r="H90" s="3"/>
      <x:c r="I90" s="3"/>
      <x:c r="J90" s="3"/>
      <x:c r="K90" s="3"/>
      <x:c r="L90" s="3"/>
    </x:row>
    <x:row r="91" ht="26" customHeight="1">
      <x:c r="A91" s="3" t="n">
        <x:v>265</x:v>
      </x:c>
      <x:c r="B91" s="14" t="n">
        <x:f>'校正統計'!$B$7*A91+'校正統計'!$B$8</x:f>
        <x:v>0.38632888493834594</x:v>
      </x:c>
      <x:c r="C91" s="14" t="n">
        <x:f>A91/'校正統計'!$B$9</x:f>
        <x:v>0.39150599206441966</x:v>
      </x:c>
      <x:c r="D91" s="3" t="str">
        <x:f>IF(COUNTIFS('逐張量測'!D90:D235,A91)&gt;0,"是","否")</x:f>
        <x:v>否</x:v>
      </x:c>
      <x:c r="E91" s="3" t="n">
        <x:f>COUNTIFS('逐張量測'!D90:D235,A91,'逐張量測'!B90:B235,"&lt;&gt;173_wang")</x:f>
        <x:v>0</x:v>
      </x:c>
      <x:c r="F91" s="3"/>
      <x:c r="G91" s="3"/>
      <x:c r="H91" s="3"/>
      <x:c r="I91" s="3"/>
      <x:c r="J91" s="3"/>
      <x:c r="K91" s="3"/>
      <x:c r="L91" s="3"/>
    </x:row>
    <x:row r="92" ht="26" customHeight="1">
      <x:c r="A92" s="3" t="n">
        <x:v>266</x:v>
      </x:c>
      <x:c r="B92" s="14" t="n">
        <x:f>'校正統計'!$B$7*A92+'校正統計'!$B$8</x:f>
        <x:v>0.3877034717927158</x:v>
      </x:c>
      <x:c r="C92" s="14" t="n">
        <x:f>A92/'校正統計'!$B$9</x:f>
        <x:v>0.3929833731665495</x:v>
      </x:c>
      <x:c r="D92" s="3" t="str">
        <x:f>IF(COUNTIFS('逐張量測'!D91:D236,A92)&gt;0,"是","否")</x:f>
        <x:v>否</x:v>
      </x:c>
      <x:c r="E92" s="3" t="n">
        <x:f>COUNTIFS('逐張量測'!D91:D236,A92,'逐張量測'!B91:B236,"&lt;&gt;173_wang")</x:f>
        <x:v>0</x:v>
      </x:c>
      <x:c r="F92" s="3"/>
      <x:c r="G92" s="3"/>
      <x:c r="H92" s="3"/>
      <x:c r="I92" s="3"/>
      <x:c r="J92" s="3"/>
      <x:c r="K92" s="3"/>
      <x:c r="L92" s="3"/>
    </x:row>
    <x:row r="93" ht="26" customHeight="1">
      <x:c r="A93" s="3" t="n">
        <x:v>267</x:v>
      </x:c>
      <x:c r="B93" s="14" t="n">
        <x:f>'校正統計'!$B$7*A93+'校正統計'!$B$8</x:f>
        <x:v>0.38907805864708567</x:v>
      </x:c>
      <x:c r="C93" s="14" t="n">
        <x:f>A93/'校正統計'!$B$9</x:f>
        <x:v>0.3944607542686794</x:v>
      </x:c>
      <x:c r="D93" s="3" t="str">
        <x:f>IF(COUNTIFS('逐張量測'!D92:D237,A93)&gt;0,"是","否")</x:f>
        <x:v>否</x:v>
      </x:c>
      <x:c r="E93" s="3" t="n">
        <x:f>COUNTIFS('逐張量測'!D92:D237,A93,'逐張量測'!B92:B237,"&lt;&gt;173_wang")</x:f>
        <x:v>0</x:v>
      </x:c>
      <x:c r="F93" s="3"/>
      <x:c r="G93" s="3"/>
      <x:c r="H93" s="3"/>
      <x:c r="I93" s="3"/>
      <x:c r="J93" s="3"/>
      <x:c r="K93" s="3"/>
      <x:c r="L93" s="3"/>
    </x:row>
    <x:row r="94" ht="26" customHeight="1">
      <x:c r="A94" s="3" t="n">
        <x:v>268</x:v>
      </x:c>
      <x:c r="B94" s="14" t="n">
        <x:f>'校正統計'!$B$7*A94+'校正統計'!$B$8</x:f>
        <x:v>0.39045264550145553</x:v>
      </x:c>
      <x:c r="C94" s="14" t="n">
        <x:f>A94/'校正統計'!$B$9</x:f>
        <x:v>0.3959381353708093</x:v>
      </x:c>
      <x:c r="D94" s="3" t="str">
        <x:f>IF(COUNTIFS('逐張量測'!D93:D238,A94)&gt;0,"是","否")</x:f>
        <x:v>否</x:v>
      </x:c>
      <x:c r="E94" s="3" t="n">
        <x:f>COUNTIFS('逐張量測'!D93:D238,A94,'逐張量測'!B93:B238,"&lt;&gt;173_wang")</x:f>
        <x:v>0</x:v>
      </x:c>
      <x:c r="F94" s="3"/>
      <x:c r="G94" s="3"/>
      <x:c r="H94" s="3"/>
      <x:c r="I94" s="3"/>
      <x:c r="J94" s="3"/>
      <x:c r="K94" s="3"/>
      <x:c r="L94" s="3"/>
    </x:row>
    <x:row r="95" ht="26" customHeight="1">
      <x:c r="A95" s="3" t="n">
        <x:v>269</x:v>
      </x:c>
      <x:c r="B95" s="14" t="n">
        <x:f>'校正統計'!$B$7*A95+'校正統計'!$B$8</x:f>
        <x:v>0.3918272323558253</x:v>
      </x:c>
      <x:c r="C95" s="14" t="n">
        <x:f>A95/'校正統計'!$B$9</x:f>
        <x:v>0.39741551647293916</x:v>
      </x:c>
      <x:c r="D95" s="3" t="str">
        <x:f>IF(COUNTIFS('逐張量測'!D94:D239,A95)&gt;0,"是","否")</x:f>
        <x:v>否</x:v>
      </x:c>
      <x:c r="E95" s="3" t="n">
        <x:f>COUNTIFS('逐張量測'!D94:D239,A95,'逐張量測'!B94:B239,"&lt;&gt;173_wang")</x:f>
        <x:v>0</x:v>
      </x:c>
      <x:c r="F95" s="3"/>
      <x:c r="G95" s="3"/>
      <x:c r="H95" s="3"/>
      <x:c r="I95" s="3"/>
      <x:c r="J95" s="3"/>
      <x:c r="K95" s="3"/>
      <x:c r="L95" s="3"/>
    </x:row>
    <x:row r="96" ht="26" customHeight="1">
      <x:c r="A96" s="3" t="n">
        <x:v>270</x:v>
      </x:c>
      <x:c r="B96" s="14" t="n">
        <x:f>'校正統計'!$B$7*A96+'校正統計'!$B$8</x:f>
        <x:v>0.39320181921019515</x:v>
      </x:c>
      <x:c r="C96" s="14" t="n">
        <x:f>A96/'校正統計'!$B$9</x:f>
        <x:v>0.39889289757506907</x:v>
      </x:c>
      <x:c r="D96" s="3" t="str">
        <x:f>IF(COUNTIFS('逐張量測'!D95:D240,A96)&gt;0,"是","否")</x:f>
        <x:v>否</x:v>
      </x:c>
      <x:c r="E96" s="3" t="n">
        <x:f>COUNTIFS('逐張量測'!D95:D240,A96,'逐張量測'!B95:B240,"&lt;&gt;173_wang")</x:f>
        <x:v>0</x:v>
      </x:c>
      <x:c r="F96" s="3"/>
      <x:c r="G96" s="3"/>
      <x:c r="H96" s="3"/>
      <x:c r="I96" s="3"/>
      <x:c r="J96" s="3"/>
      <x:c r="K96" s="3"/>
      <x:c r="L96" s="3"/>
    </x:row>
    <x:row r="97" ht="26" customHeight="1">
      <x:c r="A97" s="3" t="n">
        <x:v>271</x:v>
      </x:c>
      <x:c r="B97" s="14" t="n">
        <x:f>'校正統計'!$B$7*A97+'校正統計'!$B$8</x:f>
        <x:v>0.394576406064565</x:v>
      </x:c>
      <x:c r="C97" s="14" t="n">
        <x:f>A97/'校正統計'!$B$9</x:f>
        <x:v>0.40037027867719893</x:v>
      </x:c>
      <x:c r="D97" s="3" t="str">
        <x:f>IF(COUNTIFS('逐張量測'!D96:D241,A97)&gt;0,"是","否")</x:f>
        <x:v>否</x:v>
      </x:c>
      <x:c r="E97" s="3" t="n">
        <x:f>COUNTIFS('逐張量測'!D96:D241,A97,'逐張量測'!B96:B241,"&lt;&gt;173_wang")</x:f>
        <x:v>0</x:v>
      </x:c>
      <x:c r="F97" s="3"/>
      <x:c r="G97" s="3"/>
      <x:c r="H97" s="3"/>
      <x:c r="I97" s="3"/>
      <x:c r="J97" s="3"/>
      <x:c r="K97" s="3"/>
      <x:c r="L97" s="3"/>
    </x:row>
    <x:row r="98" ht="26" customHeight="1">
      <x:c r="A98" s="3" t="n">
        <x:v>272</x:v>
      </x:c>
      <x:c r="B98" s="14" t="n">
        <x:f>'校正統計'!$B$7*A98+'校正統計'!$B$8</x:f>
        <x:v>0.3959509929189349</x:v>
      </x:c>
      <x:c r="C98" s="14" t="n">
        <x:f>A98/'校正統計'!$B$9</x:f>
        <x:v>0.40184765977932885</x:v>
      </x:c>
      <x:c r="D98" s="3" t="str">
        <x:f>IF(COUNTIFS('逐張量測'!D97:D242,A98)&gt;0,"是","否")</x:f>
        <x:v>否</x:v>
      </x:c>
      <x:c r="E98" s="3" t="n">
        <x:f>COUNTIFS('逐張量測'!D97:D242,A98,'逐張量測'!B97:B242,"&lt;&gt;173_wang")</x:f>
        <x:v>0</x:v>
      </x:c>
      <x:c r="F98" s="3"/>
      <x:c r="G98" s="3"/>
      <x:c r="H98" s="3"/>
      <x:c r="I98" s="3"/>
      <x:c r="J98" s="3"/>
      <x:c r="K98" s="3"/>
      <x:c r="L98" s="3"/>
    </x:row>
    <x:row r="99" ht="26" customHeight="1">
      <x:c r="A99" s="3" t="n">
        <x:v>273</x:v>
      </x:c>
      <x:c r="B99" s="14" t="n">
        <x:f>'校正統計'!$B$7*A99+'校正統計'!$B$8</x:f>
        <x:v>0.39732557977330474</x:v>
      </x:c>
      <x:c r="C99" s="14" t="n">
        <x:f>A99/'校正統計'!$B$9</x:f>
        <x:v>0.4033250408814587</x:v>
      </x:c>
      <x:c r="D99" s="3" t="str">
        <x:f>IF(COUNTIFS('逐張量測'!D98:D243,A99)&gt;0,"是","否")</x:f>
        <x:v>否</x:v>
      </x:c>
      <x:c r="E99" s="3" t="n">
        <x:f>COUNTIFS('逐張量測'!D98:D243,A99,'逐張量測'!B98:B243,"&lt;&gt;173_wang")</x:f>
        <x:v>0</x:v>
      </x:c>
      <x:c r="F99" s="3"/>
      <x:c r="G99" s="3"/>
      <x:c r="H99" s="3"/>
      <x:c r="I99" s="3"/>
      <x:c r="J99" s="3"/>
      <x:c r="K99" s="3"/>
      <x:c r="L99" s="3"/>
    </x:row>
    <x:row r="100" ht="26" customHeight="1">
      <x:c r="A100" s="3" t="n">
        <x:v>274</x:v>
      </x:c>
      <x:c r="B100" s="14" t="n">
        <x:f>'校正統計'!$B$7*A100+'校正統計'!$B$8</x:f>
        <x:v>0.3987001666276745</x:v>
      </x:c>
      <x:c r="C100" s="14" t="n">
        <x:f>A100/'校正統計'!$B$9</x:f>
        <x:v>0.4048024219835886</x:v>
      </x:c>
      <x:c r="D100" s="3" t="str">
        <x:f>IF(COUNTIFS('逐張量測'!D99:D244,A100)&gt;0,"是","否")</x:f>
        <x:v>否</x:v>
      </x:c>
      <x:c r="E100" s="3" t="n">
        <x:f>COUNTIFS('逐張量測'!D99:D244,A100,'逐張量測'!B99:B244,"&lt;&gt;173_wang")</x:f>
        <x:v>0</x:v>
      </x:c>
      <x:c r="F100" s="3"/>
      <x:c r="G100" s="3"/>
      <x:c r="H100" s="3"/>
      <x:c r="I100" s="3"/>
      <x:c r="J100" s="3"/>
      <x:c r="K100" s="3"/>
      <x:c r="L100" s="3"/>
    </x:row>
    <x:row r="101" ht="26" customHeight="1">
      <x:c r="A101" s="3" t="n">
        <x:v>275</x:v>
      </x:c>
      <x:c r="B101" s="14" t="n">
        <x:f>'校正統計'!$B$7*A101+'校正統計'!$B$8</x:f>
        <x:v>0.40007475348204435</x:v>
      </x:c>
      <x:c r="C101" s="14" t="n">
        <x:f>A101/'校正統計'!$B$9</x:f>
        <x:v>0.4062798030857185</x:v>
      </x:c>
      <x:c r="D101" s="3" t="str">
        <x:f>IF(COUNTIFS('逐張量測'!D100:D245,A101)&gt;0,"是","否")</x:f>
        <x:v>否</x:v>
      </x:c>
      <x:c r="E101" s="3" t="n">
        <x:f>COUNTIFS('逐張量測'!D100:D245,A101,'逐張量測'!B100:B245,"&lt;&gt;173_wang")</x:f>
        <x:v>0</x:v>
      </x:c>
      <x:c r="F101" s="3"/>
      <x:c r="G101" s="3"/>
      <x:c r="H101" s="3"/>
      <x:c r="I101" s="3"/>
      <x:c r="J101" s="3"/>
      <x:c r="K101" s="3"/>
      <x:c r="L101" s="3"/>
    </x:row>
    <x:row r="102" ht="26" customHeight="1">
      <x:c r="A102" s="3" t="n">
        <x:v>276</x:v>
      </x:c>
      <x:c r="B102" s="14" t="n">
        <x:f>'校正統計'!$B$7*A102+'校正統計'!$B$8</x:f>
        <x:v>0.4014493403364142</x:v>
      </x:c>
      <x:c r="C102" s="14" t="n">
        <x:f>A102/'校正統計'!$B$9</x:f>
        <x:v>0.4077571841878484</x:v>
      </x:c>
      <x:c r="D102" s="3" t="str">
        <x:f>IF(COUNTIFS('逐張量測'!D101:D246,A102)&gt;0,"是","否")</x:f>
        <x:v>否</x:v>
      </x:c>
      <x:c r="E102" s="3" t="n">
        <x:f>COUNTIFS('逐張量測'!D101:D246,A102,'逐張量測'!B101:B246,"&lt;&gt;173_wang")</x:f>
        <x:v>0</x:v>
      </x:c>
      <x:c r="F102" s="3"/>
      <x:c r="G102" s="3"/>
      <x:c r="H102" s="3"/>
      <x:c r="I102" s="3"/>
      <x:c r="J102" s="3"/>
      <x:c r="K102" s="3"/>
      <x:c r="L102" s="3"/>
    </x:row>
    <x:row r="103" ht="26" customHeight="1">
      <x:c r="A103" s="3" t="n">
        <x:v>277</x:v>
      </x:c>
      <x:c r="B103" s="14" t="n">
        <x:f>'校正統計'!$B$7*A103+'校正統計'!$B$8</x:f>
        <x:v>0.4028239271907841</x:v>
      </x:c>
      <x:c r="C103" s="14" t="n">
        <x:f>A103/'校正統計'!$B$9</x:f>
        <x:v>0.40923456528997826</x:v>
      </x:c>
      <x:c r="D103" s="3" t="str">
        <x:f>IF(COUNTIFS('逐張量測'!D102:D247,A103)&gt;0,"是","否")</x:f>
        <x:v>否</x:v>
      </x:c>
      <x:c r="E103" s="3" t="n">
        <x:f>COUNTIFS('逐張量測'!D102:D247,A103,'逐張量測'!B102:B247,"&lt;&gt;173_wang")</x:f>
        <x:v>0</x:v>
      </x:c>
      <x:c r="F103" s="3"/>
      <x:c r="G103" s="3"/>
      <x:c r="H103" s="3"/>
      <x:c r="I103" s="3"/>
      <x:c r="J103" s="3"/>
      <x:c r="K103" s="3"/>
      <x:c r="L103" s="3"/>
    </x:row>
    <x:row r="104" ht="26" customHeight="1">
      <x:c r="A104" s="3" t="n">
        <x:v>278</x:v>
      </x:c>
      <x:c r="B104" s="14" t="n">
        <x:f>'校正統計'!$B$7*A104+'校正統計'!$B$8</x:f>
        <x:v>0.40419851404515394</x:v>
      </x:c>
      <x:c r="C104" s="14" t="n">
        <x:f>A104/'校正統計'!$B$9</x:f>
        <x:v>0.4107119463921082</x:v>
      </x:c>
      <x:c r="D104" s="3" t="str">
        <x:f>IF(COUNTIFS('逐張量測'!D103:D248,A104)&gt;0,"是","否")</x:f>
        <x:v>否</x:v>
      </x:c>
      <x:c r="E104" s="3" t="n">
        <x:f>COUNTIFS('逐張量測'!D103:D248,A104,'逐張量測'!B103:B248,"&lt;&gt;173_wang")</x:f>
        <x:v>0</x:v>
      </x:c>
      <x:c r="F104" s="3"/>
      <x:c r="G104" s="3"/>
      <x:c r="H104" s="3"/>
      <x:c r="I104" s="3"/>
      <x:c r="J104" s="3"/>
      <x:c r="K104" s="3"/>
      <x:c r="L104" s="3"/>
    </x:row>
    <x:row r="105" ht="26" customHeight="1">
      <x:c r="A105" s="3" t="n">
        <x:v>279</x:v>
      </x:c>
      <x:c r="B105" s="14" t="n">
        <x:f>'校正統計'!$B$7*A105+'校正統計'!$B$8</x:f>
        <x:v>0.4055731008995238</x:v>
      </x:c>
      <x:c r="C105" s="14" t="n">
        <x:f>A105/'校正統計'!$B$9</x:f>
        <x:v>0.41218932749423803</x:v>
      </x:c>
      <x:c r="D105" s="3" t="str">
        <x:f>IF(COUNTIFS('逐張量測'!D104:D249,A105)&gt;0,"是","否")</x:f>
        <x:v>否</x:v>
      </x:c>
      <x:c r="E105" s="3" t="n">
        <x:f>COUNTIFS('逐張量測'!D104:D249,A105,'逐張量測'!B104:B249,"&lt;&gt;173_wang")</x:f>
        <x:v>0</x:v>
      </x:c>
      <x:c r="F105" s="3"/>
      <x:c r="G105" s="3"/>
      <x:c r="H105" s="3"/>
      <x:c r="I105" s="3"/>
      <x:c r="J105" s="3"/>
      <x:c r="K105" s="3"/>
      <x:c r="L105" s="3"/>
    </x:row>
    <x:row r="106" ht="26" customHeight="1">
      <x:c r="A106" s="3" t="n">
        <x:v>280</x:v>
      </x:c>
      <x:c r="B106" s="14" t="n">
        <x:f>'校正統計'!$B$7*A106+'校正統計'!$B$8</x:f>
        <x:v>0.40694768775389356</x:v>
      </x:c>
      <x:c r="C106" s="14" t="n">
        <x:f>A106/'校正統計'!$B$9</x:f>
        <x:v>0.4136667085963679</x:v>
      </x:c>
      <x:c r="D106" s="3" t="str">
        <x:f>IF(COUNTIFS('逐張量測'!D105:D250,A106)&gt;0,"是","否")</x:f>
        <x:v>否</x:v>
      </x:c>
      <x:c r="E106" s="3" t="n">
        <x:f>COUNTIFS('逐張量測'!D105:D250,A106,'逐張量測'!B105:B250,"&lt;&gt;173_wang")</x:f>
        <x:v>0</x:v>
      </x:c>
      <x:c r="F106" s="3"/>
      <x:c r="G106" s="3"/>
      <x:c r="H106" s="3"/>
      <x:c r="I106" s="3"/>
      <x:c r="J106" s="3"/>
      <x:c r="K106" s="3"/>
      <x:c r="L106" s="3"/>
    </x:row>
    <x:row r="107" ht="26" customHeight="1">
      <x:c r="A107" s="3" t="n">
        <x:v>281</x:v>
      </x:c>
      <x:c r="B107" s="14" t="n">
        <x:f>'校正統計'!$B$7*A107+'校正統計'!$B$8</x:f>
        <x:v>0.4083222746082634</x:v>
      </x:c>
      <x:c r="C107" s="14" t="n">
        <x:f>A107/'校正統計'!$B$9</x:f>
        <x:v>0.4151440896984978</x:v>
      </x:c>
      <x:c r="D107" s="3" t="str">
        <x:f>IF(COUNTIFS('逐張量測'!D106:D251,A107)&gt;0,"是","否")</x:f>
        <x:v>否</x:v>
      </x:c>
      <x:c r="E107" s="3" t="n">
        <x:f>COUNTIFS('逐張量測'!D106:D251,A107,'逐張量測'!B106:B251,"&lt;&gt;173_wang")</x:f>
        <x:v>0</x:v>
      </x:c>
      <x:c r="F107" s="3"/>
      <x:c r="G107" s="3"/>
      <x:c r="H107" s="3"/>
      <x:c r="I107" s="3"/>
      <x:c r="J107" s="3"/>
      <x:c r="K107" s="3"/>
      <x:c r="L107" s="3"/>
    </x:row>
    <x:row r="108" ht="26" customHeight="1">
      <x:c r="A108" s="3" t="n">
        <x:v>282</x:v>
      </x:c>
      <x:c r="B108" s="14" t="n">
        <x:f>'校正統計'!$B$7*A108+'校正統計'!$B$8</x:f>
        <x:v>0.4096968614626333</x:v>
      </x:c>
      <x:c r="C108" s="14" t="n">
        <x:f>A108/'校正統計'!$B$9</x:f>
        <x:v>0.41662147080062767</x:v>
      </x:c>
      <x:c r="D108" s="3" t="str">
        <x:f>IF(COUNTIFS('逐張量測'!D107:D252,A108)&gt;0,"是","否")</x:f>
        <x:v>否</x:v>
      </x:c>
      <x:c r="E108" s="3" t="n">
        <x:f>COUNTIFS('逐張量測'!D107:D252,A108,'逐張量測'!B107:B252,"&lt;&gt;173_wang")</x:f>
        <x:v>0</x:v>
      </x:c>
      <x:c r="F108" s="3"/>
      <x:c r="G108" s="3"/>
      <x:c r="H108" s="3"/>
      <x:c r="I108" s="3"/>
      <x:c r="J108" s="3"/>
      <x:c r="K108" s="3"/>
      <x:c r="L108" s="3"/>
    </x:row>
    <x:row r="109" ht="26" customHeight="1">
      <x:c r="A109" s="3" t="n">
        <x:v>283</x:v>
      </x:c>
      <x:c r="B109" s="14" t="n">
        <x:f>'校正統計'!$B$7*A109+'校正統計'!$B$8</x:f>
        <x:v>0.41107144831700315</x:v>
      </x:c>
      <x:c r="C109" s="14" t="n">
        <x:f>A109/'校正統計'!$B$9</x:f>
        <x:v>0.4180988519027576</x:v>
      </x:c>
      <x:c r="D109" s="3" t="str">
        <x:f>IF(COUNTIFS('逐張量測'!D108:D253,A109)&gt;0,"是","否")</x:f>
        <x:v>否</x:v>
      </x:c>
      <x:c r="E109" s="3" t="n">
        <x:f>COUNTIFS('逐張量測'!D108:D253,A109,'逐張量測'!B108:B253,"&lt;&gt;173_wang")</x:f>
        <x:v>0</x:v>
      </x:c>
      <x:c r="F109" s="3"/>
      <x:c r="G109" s="3"/>
      <x:c r="H109" s="3"/>
      <x:c r="I109" s="3"/>
      <x:c r="J109" s="3"/>
      <x:c r="K109" s="3"/>
      <x:c r="L109" s="3"/>
    </x:row>
    <x:row r="110" ht="26" customHeight="1">
      <x:c r="A110" s="3" t="n">
        <x:v>284</x:v>
      </x:c>
      <x:c r="B110" s="14" t="n">
        <x:f>'校正統計'!$B$7*A110+'校正統計'!$B$8</x:f>
        <x:v>0.412446035171373</x:v>
      </x:c>
      <x:c r="C110" s="14" t="n">
        <x:f>A110/'校正統計'!$B$9</x:f>
        <x:v>0.41957623300488744</x:v>
      </x:c>
      <x:c r="D110" s="3" t="str">
        <x:f>IF(COUNTIFS('逐張量測'!D109:D254,A110)&gt;0,"是","否")</x:f>
        <x:v>否</x:v>
      </x:c>
      <x:c r="E110" s="3" t="n">
        <x:f>COUNTIFS('逐張量測'!D109:D254,A110,'逐張量測'!B109:B254,"&lt;&gt;173_wang")</x:f>
        <x:v>0</x:v>
      </x:c>
      <x:c r="F110" s="3"/>
      <x:c r="G110" s="3"/>
      <x:c r="H110" s="3"/>
      <x:c r="I110" s="3"/>
      <x:c r="J110" s="3"/>
      <x:c r="K110" s="3"/>
      <x:c r="L110" s="3"/>
    </x:row>
    <x:row r="111" ht="26" customHeight="1">
      <x:c r="A111" s="3" t="n">
        <x:v>285</x:v>
      </x:c>
      <x:c r="B111" s="14" t="n">
        <x:f>'校正統計'!$B$7*A111+'校正統計'!$B$8</x:f>
        <x:v>0.41382062202574277</x:v>
      </x:c>
      <x:c r="C111" s="14" t="n">
        <x:f>A111/'校正統計'!$B$9</x:f>
        <x:v>0.42105361410701736</x:v>
      </x:c>
      <x:c r="D111" s="3" t="str">
        <x:f>IF(COUNTIFS('逐張量測'!D110:D255,A111)&gt;0,"是","否")</x:f>
        <x:v>否</x:v>
      </x:c>
      <x:c r="E111" s="3" t="n">
        <x:f>COUNTIFS('逐張量測'!D110:D255,A111,'逐張量測'!B110:B255,"&lt;&gt;173_wang")</x:f>
        <x:v>0</x:v>
      </x:c>
      <x:c r="F111" s="3"/>
      <x:c r="G111" s="3"/>
      <x:c r="H111" s="3"/>
      <x:c r="I111" s="3"/>
      <x:c r="J111" s="3"/>
      <x:c r="K111" s="3"/>
      <x:c r="L111" s="3"/>
    </x:row>
    <x:row r="112" ht="26" customHeight="1">
      <x:c r="A112" s="3" t="n">
        <x:v>286</x:v>
      </x:c>
      <x:c r="B112" s="14" t="n">
        <x:f>'校正統計'!$B$7*A112+'校正統計'!$B$8</x:f>
        <x:v>0.41519520888011263</x:v>
      </x:c>
      <x:c r="C112" s="14" t="n">
        <x:f>A112/'校正統計'!$B$9</x:f>
        <x:v>0.4225309952091472</x:v>
      </x:c>
      <x:c r="D112" s="3" t="str">
        <x:f>IF(COUNTIFS('逐張量測'!D111:D256,A112)&gt;0,"是","否")</x:f>
        <x:v>否</x:v>
      </x:c>
      <x:c r="E112" s="3" t="n">
        <x:f>COUNTIFS('逐張量測'!D111:D256,A112,'逐張量測'!B111:B256,"&lt;&gt;173_wang")</x:f>
        <x:v>0</x:v>
      </x:c>
      <x:c r="F112" s="3"/>
      <x:c r="G112" s="3"/>
      <x:c r="H112" s="3"/>
      <x:c r="I112" s="3"/>
      <x:c r="J112" s="3"/>
      <x:c r="K112" s="3"/>
      <x:c r="L112" s="3"/>
    </x:row>
    <x:row r="113" ht="26" customHeight="1">
      <x:c r="A113" s="3" t="n">
        <x:v>287</x:v>
      </x:c>
      <x:c r="B113" s="14" t="n">
        <x:f>'校正統計'!$B$7*A113+'校正統計'!$B$8</x:f>
        <x:v>0.4165697957344825</x:v>
      </x:c>
      <x:c r="C113" s="14" t="n">
        <x:f>A113/'校正統計'!$B$9</x:f>
        <x:v>0.42400837631127714</x:v>
      </x:c>
      <x:c r="D113" s="3" t="str">
        <x:f>IF(COUNTIFS('逐張量測'!D112:D257,A113)&gt;0,"是","否")</x:f>
        <x:v>否</x:v>
      </x:c>
      <x:c r="E113" s="3" t="n">
        <x:f>COUNTIFS('逐張量測'!D112:D257,A113,'逐張量測'!B112:B257,"&lt;&gt;173_wang")</x:f>
        <x:v>0</x:v>
      </x:c>
      <x:c r="F113" s="3"/>
      <x:c r="G113" s="3"/>
      <x:c r="H113" s="3"/>
      <x:c r="I113" s="3"/>
      <x:c r="J113" s="3"/>
      <x:c r="K113" s="3"/>
      <x:c r="L113" s="3"/>
    </x:row>
    <x:row r="114" ht="26" customHeight="1">
      <x:c r="A114" s="3" t="n">
        <x:v>288</x:v>
      </x:c>
      <x:c r="B114" s="14" t="n">
        <x:f>'校正統計'!$B$7*A114+'校正統計'!$B$8</x:f>
        <x:v>0.41794438258885236</x:v>
      </x:c>
      <x:c r="C114" s="14" t="n">
        <x:f>A114/'校正統計'!$B$9</x:f>
        <x:v>0.425485757413407</x:v>
      </x:c>
      <x:c r="D114" s="3" t="str">
        <x:f>IF(COUNTIFS('逐張量測'!D113:D258,A114)&gt;0,"是","否")</x:f>
        <x:v>否</x:v>
      </x:c>
      <x:c r="E114" s="3" t="n">
        <x:f>COUNTIFS('逐張量測'!D113:D258,A114,'逐張量測'!B113:B258,"&lt;&gt;173_wang")</x:f>
        <x:v>0</x:v>
      </x:c>
      <x:c r="F114" s="3"/>
      <x:c r="G114" s="3"/>
      <x:c r="H114" s="3"/>
      <x:c r="I114" s="3"/>
      <x:c r="J114" s="3"/>
      <x:c r="K114" s="3"/>
      <x:c r="L114" s="3"/>
    </x:row>
    <x:row r="115" ht="26" customHeight="1">
      <x:c r="A115" s="3" t="n">
        <x:v>289</x:v>
      </x:c>
      <x:c r="B115" s="14" t="n">
        <x:f>'校正統計'!$B$7*A115+'校正統計'!$B$8</x:f>
        <x:v>0.4193189694432222</x:v>
      </x:c>
      <x:c r="C115" s="14" t="n">
        <x:f>A115/'校正統計'!$B$9</x:f>
        <x:v>0.4269631385155369</x:v>
      </x:c>
      <x:c r="D115" s="3" t="str">
        <x:f>IF(COUNTIFS('逐張量測'!D114:D259,A115)&gt;0,"是","否")</x:f>
        <x:v>否</x:v>
      </x:c>
      <x:c r="E115" s="3" t="n">
        <x:f>COUNTIFS('逐張量測'!D114:D259,A115,'逐張量測'!B114:B259,"&lt;&gt;173_wang")</x:f>
        <x:v>0</x:v>
      </x:c>
      <x:c r="F115" s="3"/>
      <x:c r="G115" s="3"/>
      <x:c r="H115" s="3"/>
      <x:c r="I115" s="3"/>
      <x:c r="J115" s="3"/>
      <x:c r="K115" s="3"/>
      <x:c r="L115" s="3"/>
    </x:row>
    <x:row r="116" ht="26" customHeight="1">
      <x:c r="A116" s="3" t="n">
        <x:v>290</x:v>
      </x:c>
      <x:c r="B116" s="14" t="n">
        <x:f>'校正統計'!$B$7*A116+'校正統計'!$B$8</x:f>
        <x:v>0.4206935562975921</x:v>
      </x:c>
      <x:c r="C116" s="14" t="n">
        <x:f>A116/'校正統計'!$B$9</x:f>
        <x:v>0.42844051961766677</x:v>
      </x:c>
      <x:c r="D116" s="3" t="str">
        <x:f>IF(COUNTIFS('逐張量測'!D115:D260,A116)&gt;0,"是","否")</x:f>
        <x:v>否</x:v>
      </x:c>
      <x:c r="E116" s="3" t="n">
        <x:f>COUNTIFS('逐張量測'!D115:D260,A116,'逐張量測'!B115:B260,"&lt;&gt;173_wang")</x:f>
        <x:v>0</x:v>
      </x:c>
      <x:c r="F116" s="3"/>
      <x:c r="G116" s="3"/>
      <x:c r="H116" s="3"/>
      <x:c r="I116" s="3"/>
      <x:c r="J116" s="3"/>
      <x:c r="K116" s="3"/>
      <x:c r="L116" s="3"/>
    </x:row>
    <x:row r="117" ht="26" customHeight="1">
      <x:c r="A117" s="3" t="n">
        <x:v>291</x:v>
      </x:c>
      <x:c r="B117" s="14" t="n">
        <x:f>'校正統計'!$B$7*A117+'校正統計'!$B$8</x:f>
        <x:v>0.42206814315196184</x:v>
      </x:c>
      <x:c r="C117" s="14" t="n">
        <x:f>A117/'校正統計'!$B$9</x:f>
        <x:v>0.42991790071979663</x:v>
      </x:c>
      <x:c r="D117" s="3" t="str">
        <x:f>IF(COUNTIFS('逐張量測'!D116:D261,A117)&gt;0,"是","否")</x:f>
        <x:v>否</x:v>
      </x:c>
      <x:c r="E117" s="3" t="n">
        <x:f>COUNTIFS('逐張量測'!D116:D261,A117,'逐張量測'!B116:B261,"&lt;&gt;173_wang")</x:f>
        <x:v>0</x:v>
      </x:c>
      <x:c r="F117" s="3"/>
      <x:c r="G117" s="3"/>
      <x:c r="H117" s="3"/>
      <x:c r="I117" s="3"/>
      <x:c r="J117" s="3"/>
      <x:c r="K117" s="3"/>
      <x:c r="L117" s="3"/>
    </x:row>
    <x:row r="118" ht="26" customHeight="1">
      <x:c r="A118" s="3" t="n">
        <x:v>292</x:v>
      </x:c>
      <x:c r="B118" s="14" t="n">
        <x:f>'校正統計'!$B$7*A118+'校正統計'!$B$8</x:f>
        <x:v>0.4234427300063317</x:v>
      </x:c>
      <x:c r="C118" s="14" t="n">
        <x:f>A118/'校正統計'!$B$9</x:f>
        <x:v>0.43139528182192655</x:v>
      </x:c>
      <x:c r="D118" s="3" t="str">
        <x:f>IF(COUNTIFS('逐張量測'!D117:D262,A118)&gt;0,"是","否")</x:f>
        <x:v>否</x:v>
      </x:c>
      <x:c r="E118" s="3" t="n">
        <x:f>COUNTIFS('逐張量測'!D117:D262,A118,'逐張量測'!B117:B262,"&lt;&gt;173_wang")</x:f>
        <x:v>0</x:v>
      </x:c>
      <x:c r="F118" s="3"/>
      <x:c r="G118" s="3"/>
      <x:c r="H118" s="3"/>
      <x:c r="I118" s="3"/>
      <x:c r="J118" s="3"/>
      <x:c r="K118" s="3"/>
      <x:c r="L118" s="3"/>
    </x:row>
    <x:row r="119" ht="26" customHeight="1">
      <x:c r="A119" s="3" t="n">
        <x:v>293</x:v>
      </x:c>
      <x:c r="B119" s="14" t="n">
        <x:f>'校正統計'!$B$7*A119+'校正統計'!$B$8</x:f>
        <x:v>0.42481731686070157</x:v>
      </x:c>
      <x:c r="C119" s="14" t="n">
        <x:f>A119/'校正統計'!$B$9</x:f>
        <x:v>0.4328726629240564</x:v>
      </x:c>
      <x:c r="D119" s="3" t="str">
        <x:f>IF(COUNTIFS('逐張量測'!D118:D263,A119)&gt;0,"是","否")</x:f>
        <x:v>否</x:v>
      </x:c>
      <x:c r="E119" s="3" t="n">
        <x:f>COUNTIFS('逐張量測'!D118:D263,A119,'逐張量測'!B118:B263,"&lt;&gt;173_wang")</x:f>
        <x:v>0</x:v>
      </x:c>
      <x:c r="F119" s="3"/>
      <x:c r="G119" s="3"/>
      <x:c r="H119" s="3"/>
      <x:c r="I119" s="3"/>
      <x:c r="J119" s="3"/>
      <x:c r="K119" s="3"/>
      <x:c r="L119" s="3"/>
    </x:row>
    <x:row r="120" ht="26" customHeight="1">
      <x:c r="A120" s="3" t="n">
        <x:v>294</x:v>
      </x:c>
      <x:c r="B120" s="14" t="n">
        <x:f>'校正統計'!$B$7*A120+'校正統計'!$B$8</x:f>
        <x:v>0.42619190371507143</x:v>
      </x:c>
      <x:c r="C120" s="14" t="n">
        <x:f>A120/'校正統計'!$B$9</x:f>
        <x:v>0.4343500440261863</x:v>
      </x:c>
      <x:c r="D120" s="3" t="str">
        <x:f>IF(COUNTIFS('逐張量測'!D119:D264,A120)&gt;0,"是","否")</x:f>
        <x:v>否</x:v>
      </x:c>
      <x:c r="E120" s="3" t="n">
        <x:f>COUNTIFS('逐張量測'!D119:D264,A120,'逐張量測'!B119:B264,"&lt;&gt;173_wang")</x:f>
        <x:v>0</x:v>
      </x:c>
      <x:c r="F120" s="3"/>
      <x:c r="G120" s="3"/>
      <x:c r="H120" s="3"/>
      <x:c r="I120" s="3"/>
      <x:c r="J120" s="3"/>
      <x:c r="K120" s="3"/>
      <x:c r="L120" s="3"/>
    </x:row>
    <x:row r="121" ht="26" customHeight="1">
      <x:c r="A121" s="3" t="n">
        <x:v>295</x:v>
      </x:c>
      <x:c r="B121" s="14" t="n">
        <x:f>'校正統計'!$B$7*A121+'校正統計'!$B$8</x:f>
        <x:v>0.4275664905694413</x:v>
      </x:c>
      <x:c r="C121" s="14" t="n">
        <x:f>A121/'校正統計'!$B$9</x:f>
        <x:v>0.4358274251283162</x:v>
      </x:c>
      <x:c r="D121" s="3" t="str">
        <x:f>IF(COUNTIFS('逐張量測'!D120:D265,A121)&gt;0,"是","否")</x:f>
        <x:v>否</x:v>
      </x:c>
      <x:c r="E121" s="3" t="n">
        <x:f>COUNTIFS('逐張量測'!D120:D265,A121,'逐張量測'!B120:B265,"&lt;&gt;173_wang")</x:f>
        <x:v>0</x:v>
      </x:c>
      <x:c r="F121" s="3"/>
      <x:c r="G121" s="3"/>
      <x:c r="H121" s="3"/>
      <x:c r="I121" s="3"/>
      <x:c r="J121" s="3"/>
      <x:c r="K121" s="3"/>
      <x:c r="L121" s="3"/>
    </x:row>
    <x:row r="122" ht="26" customHeight="1">
      <x:c r="A122" s="3" t="n">
        <x:v>296</x:v>
      </x:c>
      <x:c r="B122" s="14" t="n">
        <x:f>'校正統計'!$B$7*A122+'校正統計'!$B$8</x:f>
        <x:v>0.42894107742381105</x:v>
      </x:c>
      <x:c r="C122" s="14" t="n">
        <x:f>A122/'校正統計'!$B$9</x:f>
        <x:v>0.4373048062304461</x:v>
      </x:c>
      <x:c r="D122" s="3" t="str">
        <x:f>IF(COUNTIFS('逐張量測'!D121:D266,A122)&gt;0,"是","否")</x:f>
        <x:v>否</x:v>
      </x:c>
      <x:c r="E122" s="3" t="n">
        <x:f>COUNTIFS('逐張量測'!D121:D266,A122,'逐張量測'!B121:B266,"&lt;&gt;173_wang")</x:f>
        <x:v>0</x:v>
      </x:c>
      <x:c r="F122" s="3"/>
      <x:c r="G122" s="3"/>
      <x:c r="H122" s="3"/>
      <x:c r="I122" s="3"/>
      <x:c r="J122" s="3"/>
      <x:c r="K122" s="3"/>
      <x:c r="L122" s="3"/>
    </x:row>
    <x:row r="123" ht="26" customHeight="1">
      <x:c r="A123" s="3" t="n">
        <x:v>297</x:v>
      </x:c>
      <x:c r="B123" s="14" t="n">
        <x:f>'校正統計'!$B$7*A123+'校正統計'!$B$8</x:f>
        <x:v>0.4303156642781809</x:v>
      </x:c>
      <x:c r="C123" s="14" t="n">
        <x:f>A123/'校正統計'!$B$9</x:f>
        <x:v>0.43878218733257596</x:v>
      </x:c>
      <x:c r="D123" s="3" t="str">
        <x:f>IF(COUNTIFS('逐張量測'!D122:D267,A123)&gt;0,"是","否")</x:f>
        <x:v>否</x:v>
      </x:c>
      <x:c r="E123" s="3" t="n">
        <x:f>COUNTIFS('逐張量測'!D122:D267,A123,'逐張量測'!B122:B267,"&lt;&gt;173_wang")</x:f>
        <x:v>0</x:v>
      </x:c>
      <x:c r="F123" s="3"/>
      <x:c r="G123" s="3"/>
      <x:c r="H123" s="3"/>
      <x:c r="I123" s="3"/>
      <x:c r="J123" s="3"/>
      <x:c r="K123" s="3"/>
      <x:c r="L123" s="3"/>
    </x:row>
    <x:row r="124" ht="26" customHeight="1">
      <x:c r="A124" s="3" t="n">
        <x:v>298</x:v>
      </x:c>
      <x:c r="B124" s="14" t="n">
        <x:f>'校正統計'!$B$7*A124+'校正統計'!$B$8</x:f>
        <x:v>0.4316902511325508</x:v>
      </x:c>
      <x:c r="C124" s="14" t="n">
        <x:f>A124/'校正統計'!$B$9</x:f>
        <x:v>0.4402595684347059</x:v>
      </x:c>
      <x:c r="D124" s="3" t="str">
        <x:f>IF(COUNTIFS('逐張量測'!D123:D268,A124)&gt;0,"是","否")</x:f>
        <x:v>否</x:v>
      </x:c>
      <x:c r="E124" s="3" t="n">
        <x:f>COUNTIFS('逐張量測'!D123:D268,A124,'逐張量測'!B123:B268,"&lt;&gt;173_wang")</x:f>
        <x:v>0</x:v>
      </x:c>
      <x:c r="F124" s="3"/>
      <x:c r="G124" s="3"/>
      <x:c r="H124" s="3"/>
      <x:c r="I124" s="3"/>
      <x:c r="J124" s="3"/>
      <x:c r="K124" s="3"/>
      <x:c r="L124" s="3"/>
    </x:row>
    <x:row r="125" ht="26" customHeight="1">
      <x:c r="A125" s="3" t="n">
        <x:v>299</x:v>
      </x:c>
      <x:c r="B125" s="14" t="n">
        <x:f>'校正統計'!$B$7*A125+'校正統計'!$B$8</x:f>
        <x:v>0.43306483798692064</x:v>
      </x:c>
      <x:c r="C125" s="14" t="n">
        <x:f>A125/'校正統計'!$B$9</x:f>
        <x:v>0.44173694953683573</x:v>
      </x:c>
      <x:c r="D125" s="3" t="str">
        <x:f>IF(COUNTIFS('逐張量測'!D124:D269,A125)&gt;0,"是","否")</x:f>
        <x:v>否</x:v>
      </x:c>
      <x:c r="E125" s="3" t="n">
        <x:f>COUNTIFS('逐張量測'!D124:D269,A125,'逐張量測'!B124:B269,"&lt;&gt;173_wang")</x:f>
        <x:v>0</x:v>
      </x:c>
      <x:c r="F125" s="3"/>
      <x:c r="G125" s="3"/>
      <x:c r="H125" s="3"/>
      <x:c r="I125" s="3"/>
      <x:c r="J125" s="3"/>
      <x:c r="K125" s="3"/>
      <x:c r="L125" s="3"/>
    </x:row>
    <x:row r="126" ht="26" customHeight="1">
      <x:c r="A126" s="3" t="n">
        <x:v>300</x:v>
      </x:c>
      <x:c r="B126" s="14" t="n">
        <x:f>'校正統計'!$B$7*A126+'校正統計'!$B$8</x:f>
        <x:v>0.4344394248412905</x:v>
      </x:c>
      <x:c r="C126" s="14" t="n">
        <x:f>A126/'校正統計'!$B$9</x:f>
        <x:v>0.44321433063896565</x:v>
      </x:c>
      <x:c r="D126" s="3" t="str">
        <x:f>IF(COUNTIFS('逐張量測'!D125:D270,A126)&gt;0,"是","否")</x:f>
        <x:v>是</x:v>
      </x:c>
      <x:c r="E126" s="3" t="n">
        <x:f>COUNTIFS('逐張量測'!D125:D270,A126,'逐張量測'!B125:B270,"&lt;&gt;173_wang")</x:f>
        <x:v>6</x:v>
      </x:c>
      <x:c r="F126" s="3"/>
      <x:c r="G126" s="3"/>
      <x:c r="H126" s="3"/>
      <x:c r="I126" s="3"/>
      <x:c r="J126" s="3"/>
      <x:c r="K126" s="3"/>
      <x:c r="L126" s="3"/>
    </x:row>
  </x:sheetData>
  <x:pageMargins left="0.7" right="0.7" top="0.75" bottom="0.75" header="0.3" footer="0.3"/>
  <x:drawing xmlns:r="http://schemas.openxmlformats.org/officeDocument/2006/relationships" r:id="R3225b7cad4d64347"/>
</x:worksheet>
</file>